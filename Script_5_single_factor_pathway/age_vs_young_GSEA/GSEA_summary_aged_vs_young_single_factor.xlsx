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outobi/Downloads/final analysis/final code/Script_5_single_factor_pathway/age_vs_young_GSEA/"/>
    </mc:Choice>
  </mc:AlternateContent>
  <xr:revisionPtr revIDLastSave="0" documentId="13_ncr:1_{07336883-B9EA-CE41-9FE9-0E74EA107D4D}" xr6:coauthVersionLast="47" xr6:coauthVersionMax="47" xr10:uidLastSave="{00000000-0000-0000-0000-000000000000}"/>
  <bookViews>
    <workbookView xWindow="10340" yWindow="5800" windowWidth="23260" windowHeight="13900" xr2:uid="{0CF324BB-1E02-42B0-A0C9-68BA90AF1E46}"/>
  </bookViews>
  <sheets>
    <sheet name="GO aged" sheetId="6" r:id="rId1"/>
    <sheet name="GO young" sheetId="5" r:id="rId2"/>
    <sheet name="Reactome young" sheetId="4" r:id="rId3"/>
  </sheets>
  <definedNames>
    <definedName name="_xlnm._FilterDatabase" localSheetId="0" hidden="1">'GO aged'!$A$1:$I$28</definedName>
    <definedName name="_xlnm._FilterDatabase" localSheetId="1" hidden="1">'GO young'!$A$1:$I$29</definedName>
    <definedName name="_xlnm._FilterDatabase" localSheetId="2" hidden="1">'Reactome young'!$A$1:$I$22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1" i="4" l="1"/>
  <c r="I22" i="4"/>
  <c r="I20" i="4"/>
  <c r="I18" i="4"/>
  <c r="I17" i="4"/>
  <c r="I16" i="4"/>
  <c r="I15" i="4"/>
  <c r="I11" i="4"/>
  <c r="I7" i="4"/>
  <c r="I8" i="4"/>
  <c r="I9" i="4"/>
  <c r="I10" i="4"/>
  <c r="I14" i="4"/>
  <c r="I13" i="4"/>
  <c r="I12" i="4"/>
  <c r="I6" i="4"/>
  <c r="I5" i="4"/>
  <c r="I4" i="4"/>
  <c r="I3" i="4"/>
  <c r="I2" i="4"/>
  <c r="I19" i="4"/>
  <c r="J3" i="6"/>
  <c r="J4" i="6"/>
  <c r="J5" i="6"/>
  <c r="J2" i="6"/>
  <c r="J2" i="5"/>
  <c r="J5" i="5"/>
  <c r="J14" i="5"/>
  <c r="J10" i="5"/>
  <c r="J3" i="5"/>
  <c r="J4" i="5"/>
  <c r="J12" i="5"/>
  <c r="J9" i="5"/>
  <c r="J8" i="5"/>
  <c r="J6" i="5"/>
  <c r="J7" i="5"/>
  <c r="J13" i="5"/>
  <c r="J15" i="5"/>
  <c r="J17" i="5"/>
  <c r="J19" i="5"/>
  <c r="J20" i="5"/>
  <c r="J16" i="5"/>
  <c r="J21" i="5"/>
  <c r="J18" i="5"/>
  <c r="J27" i="5"/>
  <c r="J22" i="5"/>
  <c r="J24" i="5"/>
  <c r="J26" i="5"/>
  <c r="J28" i="5"/>
  <c r="J25" i="5"/>
  <c r="J23" i="5"/>
  <c r="J11" i="5"/>
</calcChain>
</file>

<file path=xl/sharedStrings.xml><?xml version="1.0" encoding="utf-8"?>
<sst xmlns="http://schemas.openxmlformats.org/spreadsheetml/2006/main" count="164" uniqueCount="117">
  <si>
    <t>Gene Set</t>
  </si>
  <si>
    <t>Description</t>
  </si>
  <si>
    <t>Size</t>
  </si>
  <si>
    <t>Leading Edge Number</t>
  </si>
  <si>
    <t>ES</t>
  </si>
  <si>
    <t>NES</t>
  </si>
  <si>
    <t>P Value</t>
  </si>
  <si>
    <t>FDR</t>
  </si>
  <si>
    <t>GO:2001057</t>
  </si>
  <si>
    <t>reactive nitrogen species metabolic process</t>
  </si>
  <si>
    <t>GO:0050817</t>
  </si>
  <si>
    <t>coagulation</t>
  </si>
  <si>
    <t>GO:0071824</t>
  </si>
  <si>
    <t>protein-DNA complex organization</t>
  </si>
  <si>
    <t>GO:0003012</t>
  </si>
  <si>
    <t>muscle system process</t>
  </si>
  <si>
    <t>GO:0022613</t>
  </si>
  <si>
    <t>ribonucleoprotein complex biogenesis</t>
  </si>
  <si>
    <t>GO:0016071</t>
  </si>
  <si>
    <t>mRNA metabolic process</t>
  </si>
  <si>
    <t>GO:0031032</t>
  </si>
  <si>
    <t>actomyosin structure organization</t>
  </si>
  <si>
    <t>GO:0007517</t>
  </si>
  <si>
    <t>muscle organ development</t>
  </si>
  <si>
    <t>GO:0071826</t>
  </si>
  <si>
    <t>protein-RNA complex organization</t>
  </si>
  <si>
    <t>GO:0030048</t>
  </si>
  <si>
    <t>actin filament-based movement</t>
  </si>
  <si>
    <t>GO:0008380</t>
  </si>
  <si>
    <t>RNA splicing</t>
  </si>
  <si>
    <t>GO:0010927</t>
  </si>
  <si>
    <t>cellular component assembly involved in morphogenesis</t>
  </si>
  <si>
    <t>GO:0003205</t>
  </si>
  <si>
    <t>cardiac chamber development</t>
  </si>
  <si>
    <t>GO:0032963</t>
  </si>
  <si>
    <t>collagen metabolic process</t>
  </si>
  <si>
    <t>GO:0032526</t>
  </si>
  <si>
    <t>response to retinoic acid</t>
  </si>
  <si>
    <t>GO:0050879</t>
  </si>
  <si>
    <t>multicellular organismal movement</t>
  </si>
  <si>
    <t>GO:1905360</t>
  </si>
  <si>
    <t>GTPase complex</t>
  </si>
  <si>
    <t>GO:0031514</t>
  </si>
  <si>
    <t>motile cilium</t>
  </si>
  <si>
    <t>GO:0005581</t>
  </si>
  <si>
    <t>collagen trimer</t>
  </si>
  <si>
    <t>GO:0005840</t>
  </si>
  <si>
    <t>ribosome</t>
  </si>
  <si>
    <t>GO:0016528</t>
  </si>
  <si>
    <t>sarcoplasm</t>
  </si>
  <si>
    <t>GO:0000785</t>
  </si>
  <si>
    <t>chromatin</t>
  </si>
  <si>
    <t>GO:0005681</t>
  </si>
  <si>
    <t>spliceosomal complex</t>
  </si>
  <si>
    <t>GO:0043292</t>
  </si>
  <si>
    <t>contractile fiber</t>
  </si>
  <si>
    <t>R-RNO-72203</t>
  </si>
  <si>
    <t>Processing of Capped Intron-Containing Pre-mRNA</t>
  </si>
  <si>
    <t>R-RNO-72172</t>
  </si>
  <si>
    <t>mRNA Splicing</t>
  </si>
  <si>
    <t>R-RNO-1474290</t>
  </si>
  <si>
    <t>Collagen formation</t>
  </si>
  <si>
    <t>R-RNO-8953854</t>
  </si>
  <si>
    <t>Metabolism of RNA</t>
  </si>
  <si>
    <t>R-RNO-1650814</t>
  </si>
  <si>
    <t>Collagen biosynthesis and modifying enzymes</t>
  </si>
  <si>
    <t>R-RNO-1566948</t>
  </si>
  <si>
    <t>Elastic fibre formation</t>
  </si>
  <si>
    <t>R-RNO-1442490</t>
  </si>
  <si>
    <t>Collagen degradation</t>
  </si>
  <si>
    <t>R-RNO-2022090</t>
  </si>
  <si>
    <t>Assembly of collagen fibrils and other multimeric structures</t>
  </si>
  <si>
    <t>R-RNO-8874081</t>
  </si>
  <si>
    <t>MET activates PTK2 signaling</t>
  </si>
  <si>
    <t>R-RNO-3000178</t>
  </si>
  <si>
    <t>ECM proteoglycans</t>
  </si>
  <si>
    <t>R-RNO-927802</t>
  </si>
  <si>
    <t>Nonsense-Mediated Decay (NMD)</t>
  </si>
  <si>
    <t>R-RNO-72613</t>
  </si>
  <si>
    <t>Eukaryotic Translation Initiation</t>
  </si>
  <si>
    <t>R-RNO-72737</t>
  </si>
  <si>
    <t>Cap-dependent Translation Initiation</t>
  </si>
  <si>
    <t>R-RNO-72649</t>
  </si>
  <si>
    <t>Translation initiation complex formation</t>
  </si>
  <si>
    <t>R-RNO-72706</t>
  </si>
  <si>
    <t>GTP hydrolysis and joining of the 60S ribosomal subunit</t>
  </si>
  <si>
    <t>R-RNO-72702</t>
  </si>
  <si>
    <t>Ribosomal scanning and start codon recognition</t>
  </si>
  <si>
    <t>R-RNO-1474244</t>
  </si>
  <si>
    <t>Extracellular matrix organization</t>
  </si>
  <si>
    <t>R-RNO-1799339</t>
  </si>
  <si>
    <t>SRP-dependent cotranslational protein targeting to membrane</t>
  </si>
  <si>
    <t>R-RNO-72766</t>
  </si>
  <si>
    <t>Translation</t>
  </si>
  <si>
    <t>R-RNO-390522</t>
  </si>
  <si>
    <t>Striated Muscle Contraction</t>
  </si>
  <si>
    <t>R-RNO-2243919</t>
  </si>
  <si>
    <t>Crosslinking of collagen fibrils</t>
  </si>
  <si>
    <t>GO:0003729</t>
  </si>
  <si>
    <t>mRNA binding</t>
  </si>
  <si>
    <t>GO:0003697</t>
  </si>
  <si>
    <t>single-stranded DNA binding</t>
  </si>
  <si>
    <t>GO:0141108</t>
  </si>
  <si>
    <t>transporter regulator activity</t>
  </si>
  <si>
    <t>GO:0003727</t>
  </si>
  <si>
    <t>single-stranded RNA binding</t>
  </si>
  <si>
    <t>GO:0043021</t>
  </si>
  <si>
    <t>ribonucleoprotein complex binding</t>
  </si>
  <si>
    <t>GO:0051213</t>
  </si>
  <si>
    <t>dioxygenase activity</t>
  </si>
  <si>
    <t>GO:0008134</t>
  </si>
  <si>
    <t>transcription factor binding</t>
  </si>
  <si>
    <t>GO</t>
  </si>
  <si>
    <t>BP</t>
  </si>
  <si>
    <t>MF</t>
  </si>
  <si>
    <t>CC</t>
  </si>
  <si>
    <t>Log10(FDR)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</si>
</sst>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8DD62C-7B3C-454A-B548-F8B5F871C1BC}">
  <dimension ref="A1:J5"/>
  <sheetViews>
    <sheetView tabSelected="1" workbookViewId="0">
      <selection activeCell="E21" sqref="E21"/>
    </sheetView>
  </sheetViews>
  <sheetFormatPr baseColWidth="10" defaultColWidth="8.83203125" defaultRowHeight="15" x14ac:dyDescent="0.2"/>
  <sheetData>
    <row r="1" spans="1:10" x14ac:dyDescent="0.2">
      <c r="A1" t="s">
        <v>112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116</v>
      </c>
    </row>
    <row r="2" spans="1:10" x14ac:dyDescent="0.2">
      <c r="A2" t="s">
        <v>113</v>
      </c>
      <c r="B2" t="s">
        <v>8</v>
      </c>
      <c r="C2" t="s">
        <v>9</v>
      </c>
      <c r="D2">
        <v>39</v>
      </c>
      <c r="E2">
        <v>20</v>
      </c>
      <c r="F2">
        <v>0.64815</v>
      </c>
      <c r="G2">
        <v>2.1783000000000001</v>
      </c>
      <c r="H2" s="1">
        <v>2.2E-16</v>
      </c>
      <c r="I2">
        <v>3.1980000000000001E-2</v>
      </c>
      <c r="J2">
        <f>-LOG10(I2)</f>
        <v>1.4951215405897842</v>
      </c>
    </row>
    <row r="3" spans="1:10" x14ac:dyDescent="0.2">
      <c r="A3" t="s">
        <v>113</v>
      </c>
      <c r="B3" t="s">
        <v>10</v>
      </c>
      <c r="C3" t="s">
        <v>11</v>
      </c>
      <c r="D3">
        <v>59</v>
      </c>
      <c r="E3">
        <v>32</v>
      </c>
      <c r="F3">
        <v>0.57223999999999997</v>
      </c>
      <c r="G3">
        <v>2.1267999999999998</v>
      </c>
      <c r="H3" s="1">
        <v>2.2E-16</v>
      </c>
      <c r="I3">
        <v>3.8745000000000002E-2</v>
      </c>
      <c r="J3">
        <f t="shared" ref="J3:J5" si="0">-LOG10(I3)</f>
        <v>1.4117843347710015</v>
      </c>
    </row>
    <row r="4" spans="1:10" x14ac:dyDescent="0.2">
      <c r="A4" t="s">
        <v>115</v>
      </c>
      <c r="B4" t="s">
        <v>40</v>
      </c>
      <c r="C4" t="s">
        <v>41</v>
      </c>
      <c r="D4">
        <v>17</v>
      </c>
      <c r="E4">
        <v>14</v>
      </c>
      <c r="F4">
        <v>0.79939000000000004</v>
      </c>
      <c r="G4">
        <v>2.2543000000000002</v>
      </c>
      <c r="H4" s="1">
        <v>2.2E-16</v>
      </c>
      <c r="I4">
        <v>1.1842999999999999E-3</v>
      </c>
      <c r="J4">
        <f t="shared" si="0"/>
        <v>2.9265382707201648</v>
      </c>
    </row>
    <row r="5" spans="1:10" x14ac:dyDescent="0.2">
      <c r="A5" t="s">
        <v>115</v>
      </c>
      <c r="B5" t="s">
        <v>42</v>
      </c>
      <c r="C5" t="s">
        <v>43</v>
      </c>
      <c r="D5">
        <v>55</v>
      </c>
      <c r="E5">
        <v>22</v>
      </c>
      <c r="F5">
        <v>0.61711000000000005</v>
      </c>
      <c r="G5">
        <v>2.2073999999999998</v>
      </c>
      <c r="H5" s="1">
        <v>2.2E-16</v>
      </c>
      <c r="I5">
        <v>5.9214000000000001E-4</v>
      </c>
      <c r="J5">
        <f t="shared" si="0"/>
        <v>3.2275756006431862</v>
      </c>
    </row>
  </sheetData>
  <autoFilter ref="A1:I28" xr:uid="{5C8DD62C-7B3C-454A-B548-F8B5F871C1BC}">
    <sortState xmlns:xlrd2="http://schemas.microsoft.com/office/spreadsheetml/2017/richdata2" ref="A2:I28">
      <sortCondition ref="A1:A28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D58209-3F54-4A52-B7F5-91E181AF251E}">
  <dimension ref="A1:J28"/>
  <sheetViews>
    <sheetView topLeftCell="A13" zoomScale="165" workbookViewId="0">
      <selection activeCell="H18" sqref="H18:H28"/>
    </sheetView>
  </sheetViews>
  <sheetFormatPr baseColWidth="10" defaultColWidth="8.83203125" defaultRowHeight="15" x14ac:dyDescent="0.2"/>
  <cols>
    <col min="2" max="2" width="11.1640625" bestFit="1" customWidth="1"/>
  </cols>
  <sheetData>
    <row r="1" spans="1:10" x14ac:dyDescent="0.2">
      <c r="A1" t="s">
        <v>112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116</v>
      </c>
    </row>
    <row r="2" spans="1:10" x14ac:dyDescent="0.2">
      <c r="A2" t="s">
        <v>113</v>
      </c>
      <c r="B2" t="s">
        <v>26</v>
      </c>
      <c r="C2" t="s">
        <v>27</v>
      </c>
      <c r="D2">
        <v>43</v>
      </c>
      <c r="E2">
        <v>6</v>
      </c>
      <c r="F2">
        <v>-0.56633</v>
      </c>
      <c r="G2">
        <v>-1.8222</v>
      </c>
      <c r="H2">
        <v>1.5528E-3</v>
      </c>
      <c r="I2">
        <v>2.4969000000000002E-2</v>
      </c>
      <c r="J2">
        <f t="shared" ref="J2:J28" si="0">-LOG10(I2)</f>
        <v>1.6025988506473892</v>
      </c>
    </row>
    <row r="3" spans="1:10" x14ac:dyDescent="0.2">
      <c r="A3" t="s">
        <v>113</v>
      </c>
      <c r="B3" t="s">
        <v>20</v>
      </c>
      <c r="C3" t="s">
        <v>21</v>
      </c>
      <c r="D3">
        <v>77</v>
      </c>
      <c r="E3">
        <v>16</v>
      </c>
      <c r="F3">
        <v>-0.52009000000000005</v>
      </c>
      <c r="G3">
        <v>-1.8871</v>
      </c>
      <c r="H3" s="1">
        <v>2.2E-16</v>
      </c>
      <c r="I3">
        <v>1.3247E-2</v>
      </c>
      <c r="J3">
        <f t="shared" si="0"/>
        <v>1.8778824636867368</v>
      </c>
    </row>
    <row r="4" spans="1:10" x14ac:dyDescent="0.2">
      <c r="A4" t="s">
        <v>113</v>
      </c>
      <c r="B4" t="s">
        <v>32</v>
      </c>
      <c r="C4" t="s">
        <v>33</v>
      </c>
      <c r="D4">
        <v>43</v>
      </c>
      <c r="E4">
        <v>19</v>
      </c>
      <c r="F4">
        <v>-0.59026999999999996</v>
      </c>
      <c r="G4">
        <v>-1.8915</v>
      </c>
      <c r="H4" s="1">
        <v>2.2E-16</v>
      </c>
      <c r="I4">
        <v>1.3271E-2</v>
      </c>
      <c r="J4">
        <f t="shared" si="0"/>
        <v>1.8770963508266758</v>
      </c>
    </row>
    <row r="5" spans="1:10" x14ac:dyDescent="0.2">
      <c r="A5" t="s">
        <v>113</v>
      </c>
      <c r="B5" t="s">
        <v>30</v>
      </c>
      <c r="C5" t="s">
        <v>31</v>
      </c>
      <c r="D5">
        <v>42</v>
      </c>
      <c r="E5">
        <v>8</v>
      </c>
      <c r="F5">
        <v>-0.58435000000000004</v>
      </c>
      <c r="G5">
        <v>-1.8776999999999999</v>
      </c>
      <c r="H5" s="1">
        <v>2.2E-16</v>
      </c>
      <c r="I5">
        <v>1.1457999999999999E-2</v>
      </c>
      <c r="J5">
        <f t="shared" si="0"/>
        <v>1.9408911820864063</v>
      </c>
    </row>
    <row r="6" spans="1:10" x14ac:dyDescent="0.2">
      <c r="A6" t="s">
        <v>113</v>
      </c>
      <c r="B6" t="s">
        <v>34</v>
      </c>
      <c r="C6" t="s">
        <v>35</v>
      </c>
      <c r="D6">
        <v>39</v>
      </c>
      <c r="E6">
        <v>18</v>
      </c>
      <c r="F6">
        <v>-0.63000999999999996</v>
      </c>
      <c r="G6">
        <v>-1.9823</v>
      </c>
      <c r="H6" s="1">
        <v>2.2E-16</v>
      </c>
      <c r="I6">
        <v>5.2214000000000002E-3</v>
      </c>
      <c r="J6">
        <f t="shared" si="0"/>
        <v>2.2822130351672731</v>
      </c>
    </row>
    <row r="7" spans="1:10" x14ac:dyDescent="0.2">
      <c r="A7" t="s">
        <v>113</v>
      </c>
      <c r="B7" t="s">
        <v>18</v>
      </c>
      <c r="C7" t="s">
        <v>19</v>
      </c>
      <c r="D7">
        <v>181</v>
      </c>
      <c r="E7">
        <v>106</v>
      </c>
      <c r="F7">
        <v>-0.49643999999999999</v>
      </c>
      <c r="G7">
        <v>-2.0034000000000001</v>
      </c>
      <c r="H7" s="1">
        <v>2.2E-16</v>
      </c>
      <c r="I7">
        <v>4.0610999999999998E-3</v>
      </c>
      <c r="J7">
        <f t="shared" si="0"/>
        <v>2.391356316367268</v>
      </c>
    </row>
    <row r="8" spans="1:10" x14ac:dyDescent="0.2">
      <c r="A8" t="s">
        <v>113</v>
      </c>
      <c r="B8" t="s">
        <v>38</v>
      </c>
      <c r="C8" t="s">
        <v>39</v>
      </c>
      <c r="D8">
        <v>19</v>
      </c>
      <c r="E8">
        <v>6</v>
      </c>
      <c r="F8">
        <v>-0.72430000000000005</v>
      </c>
      <c r="G8">
        <v>-1.9340999999999999</v>
      </c>
      <c r="H8">
        <v>1.6693999999999999E-3</v>
      </c>
      <c r="I8">
        <v>1.0442999999999999E-2</v>
      </c>
      <c r="J8">
        <f t="shared" si="0"/>
        <v>1.9811747219960492</v>
      </c>
    </row>
    <row r="9" spans="1:10" x14ac:dyDescent="0.2">
      <c r="A9" t="s">
        <v>113</v>
      </c>
      <c r="B9" t="s">
        <v>22</v>
      </c>
      <c r="C9" t="s">
        <v>23</v>
      </c>
      <c r="D9">
        <v>86</v>
      </c>
      <c r="E9">
        <v>18</v>
      </c>
      <c r="F9">
        <v>-0.53356000000000003</v>
      </c>
      <c r="G9">
        <v>-1.9296</v>
      </c>
      <c r="H9" s="1">
        <v>2.2E-16</v>
      </c>
      <c r="I9">
        <v>9.7175999999999998E-3</v>
      </c>
      <c r="J9">
        <f t="shared" si="0"/>
        <v>2.0124409815199806</v>
      </c>
    </row>
    <row r="10" spans="1:10" x14ac:dyDescent="0.2">
      <c r="A10" t="s">
        <v>113</v>
      </c>
      <c r="B10" t="s">
        <v>14</v>
      </c>
      <c r="C10" t="s">
        <v>15</v>
      </c>
      <c r="D10">
        <v>138</v>
      </c>
      <c r="E10">
        <v>25</v>
      </c>
      <c r="F10">
        <v>-0.48436000000000001</v>
      </c>
      <c r="G10">
        <v>-1.881</v>
      </c>
      <c r="H10" s="1">
        <v>2.2E-16</v>
      </c>
      <c r="I10">
        <v>1.3315E-2</v>
      </c>
      <c r="J10">
        <f t="shared" si="0"/>
        <v>1.87565882922504</v>
      </c>
    </row>
    <row r="11" spans="1:10" x14ac:dyDescent="0.2">
      <c r="A11" t="s">
        <v>113</v>
      </c>
      <c r="B11" t="s">
        <v>12</v>
      </c>
      <c r="C11" t="s">
        <v>13</v>
      </c>
      <c r="D11">
        <v>127</v>
      </c>
      <c r="E11">
        <v>45</v>
      </c>
      <c r="F11">
        <v>-0.45585999999999999</v>
      </c>
      <c r="G11">
        <v>-1.7824</v>
      </c>
      <c r="H11" s="1">
        <v>2.2E-16</v>
      </c>
      <c r="I11">
        <v>4.1896000000000003E-2</v>
      </c>
      <c r="J11">
        <f t="shared" si="0"/>
        <v>1.3778274391065706</v>
      </c>
    </row>
    <row r="12" spans="1:10" x14ac:dyDescent="0.2">
      <c r="A12" t="s">
        <v>113</v>
      </c>
      <c r="B12" t="s">
        <v>24</v>
      </c>
      <c r="C12" t="s">
        <v>25</v>
      </c>
      <c r="D12">
        <v>70</v>
      </c>
      <c r="E12">
        <v>43</v>
      </c>
      <c r="F12">
        <v>-0.54166000000000003</v>
      </c>
      <c r="G12">
        <v>-1.9066000000000001</v>
      </c>
      <c r="H12" s="1">
        <v>2.2E-16</v>
      </c>
      <c r="I12">
        <v>1.2307999999999999E-2</v>
      </c>
      <c r="J12">
        <f t="shared" si="0"/>
        <v>1.9098125124245793</v>
      </c>
    </row>
    <row r="13" spans="1:10" x14ac:dyDescent="0.2">
      <c r="A13" t="s">
        <v>113</v>
      </c>
      <c r="B13" t="s">
        <v>36</v>
      </c>
      <c r="C13" t="s">
        <v>37</v>
      </c>
      <c r="D13">
        <v>39</v>
      </c>
      <c r="E13">
        <v>20</v>
      </c>
      <c r="F13">
        <v>-0.64127000000000001</v>
      </c>
      <c r="G13">
        <v>-2.0366</v>
      </c>
      <c r="H13" s="1">
        <v>2.2E-16</v>
      </c>
      <c r="I13">
        <v>4.3512000000000004E-3</v>
      </c>
      <c r="J13">
        <f t="shared" si="0"/>
        <v>2.3613909541928852</v>
      </c>
    </row>
    <row r="14" spans="1:10" x14ac:dyDescent="0.2">
      <c r="A14" t="s">
        <v>113</v>
      </c>
      <c r="B14" t="s">
        <v>16</v>
      </c>
      <c r="C14" t="s">
        <v>17</v>
      </c>
      <c r="D14">
        <v>133</v>
      </c>
      <c r="E14">
        <v>80</v>
      </c>
      <c r="F14">
        <v>-0.48849999999999999</v>
      </c>
      <c r="G14">
        <v>-1.8807</v>
      </c>
      <c r="H14" s="1">
        <v>2.2E-16</v>
      </c>
      <c r="I14">
        <v>1.2104E-2</v>
      </c>
      <c r="J14">
        <f t="shared" si="0"/>
        <v>1.9170710849848698</v>
      </c>
    </row>
    <row r="15" spans="1:10" x14ac:dyDescent="0.2">
      <c r="A15" t="s">
        <v>113</v>
      </c>
      <c r="B15" t="s">
        <v>28</v>
      </c>
      <c r="C15" t="s">
        <v>29</v>
      </c>
      <c r="D15">
        <v>123</v>
      </c>
      <c r="E15">
        <v>74</v>
      </c>
      <c r="F15">
        <v>-0.57633999999999996</v>
      </c>
      <c r="G15">
        <v>-2.2201</v>
      </c>
      <c r="H15" s="1">
        <v>2.2E-16</v>
      </c>
      <c r="I15">
        <v>8.7023999999999999E-4</v>
      </c>
      <c r="J15">
        <f t="shared" si="0"/>
        <v>3.060360958528904</v>
      </c>
    </row>
    <row r="16" spans="1:10" x14ac:dyDescent="0.2">
      <c r="A16" t="s">
        <v>115</v>
      </c>
      <c r="B16" t="s">
        <v>50</v>
      </c>
      <c r="C16" t="s">
        <v>51</v>
      </c>
      <c r="D16">
        <v>120</v>
      </c>
      <c r="E16">
        <v>49</v>
      </c>
      <c r="F16">
        <v>-0.52134000000000003</v>
      </c>
      <c r="G16">
        <v>-1.9643999999999999</v>
      </c>
      <c r="H16" s="1">
        <v>2.2E-16</v>
      </c>
      <c r="I16">
        <v>2.6900000000000001E-3</v>
      </c>
      <c r="J16">
        <f t="shared" si="0"/>
        <v>2.5702477199975919</v>
      </c>
    </row>
    <row r="17" spans="1:10" x14ac:dyDescent="0.2">
      <c r="A17" t="s">
        <v>115</v>
      </c>
      <c r="B17" t="s">
        <v>44</v>
      </c>
      <c r="C17" t="s">
        <v>45</v>
      </c>
      <c r="D17">
        <v>14</v>
      </c>
      <c r="E17">
        <v>6</v>
      </c>
      <c r="F17">
        <v>-0.71658999999999995</v>
      </c>
      <c r="G17">
        <v>-1.7608999999999999</v>
      </c>
      <c r="H17">
        <v>1.6639000000000001E-3</v>
      </c>
      <c r="I17">
        <v>2.4358999999999999E-2</v>
      </c>
      <c r="J17">
        <f t="shared" si="0"/>
        <v>1.6133405445858058</v>
      </c>
    </row>
    <row r="18" spans="1:10" x14ac:dyDescent="0.2">
      <c r="A18" t="s">
        <v>115</v>
      </c>
      <c r="B18" t="s">
        <v>54</v>
      </c>
      <c r="C18" t="s">
        <v>55</v>
      </c>
      <c r="D18">
        <v>99</v>
      </c>
      <c r="E18">
        <v>27</v>
      </c>
      <c r="F18">
        <v>-0.57143999999999995</v>
      </c>
      <c r="G18">
        <v>-2.1292</v>
      </c>
      <c r="H18" s="1">
        <v>2.2E-16</v>
      </c>
      <c r="I18" s="1">
        <v>2.2E-16</v>
      </c>
      <c r="J18">
        <f t="shared" si="0"/>
        <v>15.657577319177793</v>
      </c>
    </row>
    <row r="19" spans="1:10" x14ac:dyDescent="0.2">
      <c r="A19" t="s">
        <v>115</v>
      </c>
      <c r="B19" t="s">
        <v>46</v>
      </c>
      <c r="C19" t="s">
        <v>47</v>
      </c>
      <c r="D19">
        <v>95</v>
      </c>
      <c r="E19">
        <v>64</v>
      </c>
      <c r="F19">
        <v>-0.50617000000000001</v>
      </c>
      <c r="G19">
        <v>-1.8660000000000001</v>
      </c>
      <c r="H19" s="1">
        <v>2.2E-16</v>
      </c>
      <c r="I19">
        <v>6.8145999999999997E-3</v>
      </c>
      <c r="J19">
        <f t="shared" si="0"/>
        <v>2.1665596310825816</v>
      </c>
    </row>
    <row r="20" spans="1:10" x14ac:dyDescent="0.2">
      <c r="A20" t="s">
        <v>115</v>
      </c>
      <c r="B20" t="s">
        <v>48</v>
      </c>
      <c r="C20" t="s">
        <v>49</v>
      </c>
      <c r="D20">
        <v>43</v>
      </c>
      <c r="E20">
        <v>10</v>
      </c>
      <c r="F20">
        <v>-0.58725000000000005</v>
      </c>
      <c r="G20">
        <v>-1.9218999999999999</v>
      </c>
      <c r="H20" s="1">
        <v>2.2E-16</v>
      </c>
      <c r="I20">
        <v>3.5866000000000001E-3</v>
      </c>
      <c r="J20">
        <f t="shared" si="0"/>
        <v>2.4453170558524548</v>
      </c>
    </row>
    <row r="21" spans="1:10" x14ac:dyDescent="0.2">
      <c r="A21" t="s">
        <v>115</v>
      </c>
      <c r="B21" t="s">
        <v>52</v>
      </c>
      <c r="C21" t="s">
        <v>53</v>
      </c>
      <c r="D21">
        <v>62</v>
      </c>
      <c r="E21">
        <v>39</v>
      </c>
      <c r="F21">
        <v>-0.62368999999999997</v>
      </c>
      <c r="G21">
        <v>-2.1173000000000002</v>
      </c>
      <c r="H21" s="1">
        <v>2.2E-16</v>
      </c>
      <c r="I21" s="1">
        <v>2.2E-16</v>
      </c>
      <c r="J21">
        <f t="shared" si="0"/>
        <v>15.657577319177793</v>
      </c>
    </row>
    <row r="22" spans="1:10" x14ac:dyDescent="0.2">
      <c r="A22" t="s">
        <v>114</v>
      </c>
      <c r="B22" t="s">
        <v>108</v>
      </c>
      <c r="C22" t="s">
        <v>109</v>
      </c>
      <c r="D22">
        <v>16</v>
      </c>
      <c r="E22">
        <v>8</v>
      </c>
      <c r="F22">
        <v>-0.70674000000000003</v>
      </c>
      <c r="G22">
        <v>-1.8002</v>
      </c>
      <c r="H22" s="1">
        <v>2.2E-16</v>
      </c>
      <c r="I22">
        <v>3.0450999999999999E-2</v>
      </c>
      <c r="J22">
        <f t="shared" si="0"/>
        <v>1.5163984407207352</v>
      </c>
    </row>
    <row r="23" spans="1:10" x14ac:dyDescent="0.2">
      <c r="A23" t="s">
        <v>114</v>
      </c>
      <c r="B23" t="s">
        <v>98</v>
      </c>
      <c r="C23" t="s">
        <v>99</v>
      </c>
      <c r="D23">
        <v>100</v>
      </c>
      <c r="E23">
        <v>65</v>
      </c>
      <c r="F23">
        <v>-0.58104999999999996</v>
      </c>
      <c r="G23">
        <v>-2.1448</v>
      </c>
      <c r="H23" s="1">
        <v>2.2E-16</v>
      </c>
      <c r="I23" s="1">
        <v>2.2E-16</v>
      </c>
      <c r="J23">
        <f t="shared" si="0"/>
        <v>15.657577319177793</v>
      </c>
    </row>
    <row r="24" spans="1:10" x14ac:dyDescent="0.2">
      <c r="A24" t="s">
        <v>114</v>
      </c>
      <c r="B24" t="s">
        <v>106</v>
      </c>
      <c r="C24" t="s">
        <v>107</v>
      </c>
      <c r="D24">
        <v>53</v>
      </c>
      <c r="E24">
        <v>35</v>
      </c>
      <c r="F24">
        <v>-0.53573999999999999</v>
      </c>
      <c r="G24">
        <v>-1.8257000000000001</v>
      </c>
      <c r="H24" s="1">
        <v>2.2E-16</v>
      </c>
      <c r="I24">
        <v>2.6422000000000001E-2</v>
      </c>
      <c r="J24">
        <f t="shared" si="0"/>
        <v>1.5780343117748876</v>
      </c>
    </row>
    <row r="25" spans="1:10" x14ac:dyDescent="0.2">
      <c r="A25" t="s">
        <v>114</v>
      </c>
      <c r="B25" t="s">
        <v>100</v>
      </c>
      <c r="C25" t="s">
        <v>101</v>
      </c>
      <c r="D25">
        <v>28</v>
      </c>
      <c r="E25">
        <v>14</v>
      </c>
      <c r="F25">
        <v>-0.68715999999999999</v>
      </c>
      <c r="G25">
        <v>-1.9985999999999999</v>
      </c>
      <c r="H25" s="1">
        <v>2.2E-16</v>
      </c>
      <c r="I25">
        <v>5.6217000000000003E-3</v>
      </c>
      <c r="J25">
        <f t="shared" si="0"/>
        <v>2.2501323340791481</v>
      </c>
    </row>
    <row r="26" spans="1:10" x14ac:dyDescent="0.2">
      <c r="A26" t="s">
        <v>114</v>
      </c>
      <c r="B26" t="s">
        <v>104</v>
      </c>
      <c r="C26" t="s">
        <v>105</v>
      </c>
      <c r="D26">
        <v>29</v>
      </c>
      <c r="E26">
        <v>21</v>
      </c>
      <c r="F26">
        <v>-0.62044999999999995</v>
      </c>
      <c r="G26">
        <v>-1.8633999999999999</v>
      </c>
      <c r="H26" s="1">
        <v>2.2E-16</v>
      </c>
      <c r="I26">
        <v>1.8036E-2</v>
      </c>
      <c r="J26">
        <f t="shared" si="0"/>
        <v>1.743859773365467</v>
      </c>
    </row>
    <row r="27" spans="1:10" x14ac:dyDescent="0.2">
      <c r="A27" t="s">
        <v>114</v>
      </c>
      <c r="B27" t="s">
        <v>110</v>
      </c>
      <c r="C27" t="s">
        <v>111</v>
      </c>
      <c r="D27">
        <v>160</v>
      </c>
      <c r="E27">
        <v>83</v>
      </c>
      <c r="F27">
        <v>-0.44923000000000002</v>
      </c>
      <c r="G27">
        <v>-1.7874000000000001</v>
      </c>
      <c r="H27" s="1">
        <v>2.2E-16</v>
      </c>
      <c r="I27">
        <v>3.0786000000000001E-2</v>
      </c>
      <c r="J27">
        <f t="shared" si="0"/>
        <v>1.5116467349609717</v>
      </c>
    </row>
    <row r="28" spans="1:10" x14ac:dyDescent="0.2">
      <c r="A28" t="s">
        <v>114</v>
      </c>
      <c r="B28" t="s">
        <v>102</v>
      </c>
      <c r="C28" t="s">
        <v>103</v>
      </c>
      <c r="D28">
        <v>39</v>
      </c>
      <c r="E28">
        <v>10</v>
      </c>
      <c r="F28">
        <v>-0.59635000000000005</v>
      </c>
      <c r="G28">
        <v>-1.8949</v>
      </c>
      <c r="H28" s="1">
        <v>2.2E-16</v>
      </c>
      <c r="I28">
        <v>1.5928000000000001E-2</v>
      </c>
      <c r="J28">
        <f t="shared" si="0"/>
        <v>1.7978387529806468</v>
      </c>
    </row>
  </sheetData>
  <autoFilter ref="A1:I29" xr:uid="{29D58209-3F54-4A52-B7F5-91E181AF251E}">
    <sortState xmlns:xlrd2="http://schemas.microsoft.com/office/spreadsheetml/2017/richdata2" ref="A2:I29">
      <sortCondition ref="A1:A29"/>
    </sortState>
  </autoFilter>
  <sortState xmlns:xlrd2="http://schemas.microsoft.com/office/spreadsheetml/2017/richdata2" ref="A2:J28">
    <sortCondition ref="A2:A28"/>
    <sortCondition ref="C2:C28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9CEF9-8190-4ADA-811E-976745176E1E}">
  <dimension ref="A1:I22"/>
  <sheetViews>
    <sheetView workbookViewId="0">
      <selection activeCell="F25" sqref="F25"/>
    </sheetView>
  </sheetViews>
  <sheetFormatPr baseColWidth="10" defaultColWidth="8.83203125" defaultRowHeight="15" x14ac:dyDescent="0.2"/>
  <cols>
    <col min="1" max="1" width="14.33203125" bestFit="1" customWidth="1"/>
    <col min="2" max="2" width="85.1640625" bestFit="1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116</v>
      </c>
    </row>
    <row r="2" spans="1:9" x14ac:dyDescent="0.2">
      <c r="A2" t="s">
        <v>96</v>
      </c>
      <c r="B2" t="s">
        <v>97</v>
      </c>
      <c r="C2">
        <v>5</v>
      </c>
      <c r="D2">
        <v>5</v>
      </c>
      <c r="E2">
        <v>-0.95835999999999999</v>
      </c>
      <c r="F2">
        <v>-1.7936000000000001</v>
      </c>
      <c r="G2" s="1">
        <v>2.2E-16</v>
      </c>
      <c r="H2">
        <v>4.1152000000000001E-2</v>
      </c>
      <c r="I2">
        <f t="shared" ref="I2:I22" si="0">-LOG10(H2)</f>
        <v>1.3856090530918908</v>
      </c>
    </row>
    <row r="3" spans="1:9" x14ac:dyDescent="0.2">
      <c r="A3" t="s">
        <v>94</v>
      </c>
      <c r="B3" t="s">
        <v>95</v>
      </c>
      <c r="C3">
        <v>14</v>
      </c>
      <c r="D3">
        <v>6</v>
      </c>
      <c r="E3">
        <v>-0.75921000000000005</v>
      </c>
      <c r="F3">
        <v>-1.8265</v>
      </c>
      <c r="G3" s="1">
        <v>2.2E-16</v>
      </c>
      <c r="H3">
        <v>2.9009E-2</v>
      </c>
      <c r="I3">
        <f t="shared" si="0"/>
        <v>1.5374672419649102</v>
      </c>
    </row>
    <row r="4" spans="1:9" x14ac:dyDescent="0.2">
      <c r="A4" t="s">
        <v>92</v>
      </c>
      <c r="B4" t="s">
        <v>93</v>
      </c>
      <c r="C4">
        <v>100</v>
      </c>
      <c r="D4">
        <v>66</v>
      </c>
      <c r="E4">
        <v>-0.49732999999999999</v>
      </c>
      <c r="F4">
        <v>-1.8403</v>
      </c>
      <c r="G4" s="1">
        <v>2.2E-16</v>
      </c>
      <c r="H4">
        <v>2.4840000000000001E-2</v>
      </c>
      <c r="I4">
        <f t="shared" si="0"/>
        <v>1.6048484084954575</v>
      </c>
    </row>
    <row r="5" spans="1:9" x14ac:dyDescent="0.2">
      <c r="A5" t="s">
        <v>90</v>
      </c>
      <c r="B5" t="s">
        <v>91</v>
      </c>
      <c r="C5">
        <v>59</v>
      </c>
      <c r="D5">
        <v>42</v>
      </c>
      <c r="E5">
        <v>-0.54430999999999996</v>
      </c>
      <c r="F5">
        <v>-1.847</v>
      </c>
      <c r="G5" s="1">
        <v>2.2E-16</v>
      </c>
      <c r="H5">
        <v>2.3151000000000001E-2</v>
      </c>
      <c r="I5">
        <f t="shared" si="0"/>
        <v>1.6354302450303839</v>
      </c>
    </row>
    <row r="6" spans="1:9" x14ac:dyDescent="0.2">
      <c r="A6" t="s">
        <v>88</v>
      </c>
      <c r="B6" t="s">
        <v>89</v>
      </c>
      <c r="C6">
        <v>67</v>
      </c>
      <c r="D6">
        <v>20</v>
      </c>
      <c r="E6">
        <v>-0.53502000000000005</v>
      </c>
      <c r="F6">
        <v>-1.8520000000000001</v>
      </c>
      <c r="G6" s="1">
        <v>2.2E-16</v>
      </c>
      <c r="H6">
        <v>2.2557000000000001E-2</v>
      </c>
      <c r="I6">
        <f t="shared" si="0"/>
        <v>1.6467186604547095</v>
      </c>
    </row>
    <row r="7" spans="1:9" x14ac:dyDescent="0.2">
      <c r="A7" t="s">
        <v>74</v>
      </c>
      <c r="B7" t="s">
        <v>75</v>
      </c>
      <c r="C7">
        <v>14</v>
      </c>
      <c r="D7">
        <v>6</v>
      </c>
      <c r="E7">
        <v>-0.77581</v>
      </c>
      <c r="F7">
        <v>-1.9259999999999999</v>
      </c>
      <c r="G7" s="1">
        <v>2.2E-16</v>
      </c>
      <c r="H7">
        <v>1.3674E-2</v>
      </c>
      <c r="I7">
        <f t="shared" si="0"/>
        <v>1.8641044244359808</v>
      </c>
    </row>
    <row r="8" spans="1:9" x14ac:dyDescent="0.2">
      <c r="A8" t="s">
        <v>76</v>
      </c>
      <c r="B8" t="s">
        <v>77</v>
      </c>
      <c r="C8">
        <v>71</v>
      </c>
      <c r="D8">
        <v>48</v>
      </c>
      <c r="E8">
        <v>-0.54857999999999996</v>
      </c>
      <c r="F8">
        <v>-1.9140999999999999</v>
      </c>
      <c r="G8" s="1">
        <v>2.2E-16</v>
      </c>
      <c r="H8">
        <v>1.3018E-2</v>
      </c>
      <c r="I8">
        <f t="shared" si="0"/>
        <v>1.8854557327941357</v>
      </c>
    </row>
    <row r="9" spans="1:9" x14ac:dyDescent="0.2">
      <c r="A9" t="s">
        <v>78</v>
      </c>
      <c r="B9" t="s">
        <v>79</v>
      </c>
      <c r="C9">
        <v>78</v>
      </c>
      <c r="D9">
        <v>56</v>
      </c>
      <c r="E9">
        <v>-0.53193999999999997</v>
      </c>
      <c r="F9">
        <v>-1.9057999999999999</v>
      </c>
      <c r="G9" s="1">
        <v>2.2E-16</v>
      </c>
      <c r="H9">
        <v>1.242E-2</v>
      </c>
      <c r="I9">
        <f t="shared" si="0"/>
        <v>1.9058784041594385</v>
      </c>
    </row>
    <row r="10" spans="1:9" x14ac:dyDescent="0.2">
      <c r="A10" t="s">
        <v>80</v>
      </c>
      <c r="B10" t="s">
        <v>81</v>
      </c>
      <c r="C10">
        <v>78</v>
      </c>
      <c r="D10">
        <v>56</v>
      </c>
      <c r="E10">
        <v>-0.53193999999999997</v>
      </c>
      <c r="F10">
        <v>-1.9057999999999999</v>
      </c>
      <c r="G10" s="1">
        <v>2.2E-16</v>
      </c>
      <c r="H10">
        <v>1.242E-2</v>
      </c>
      <c r="I10">
        <f t="shared" si="0"/>
        <v>1.9058784041594385</v>
      </c>
    </row>
    <row r="11" spans="1:9" x14ac:dyDescent="0.2">
      <c r="A11" t="s">
        <v>72</v>
      </c>
      <c r="B11" t="s">
        <v>73</v>
      </c>
      <c r="C11">
        <v>8</v>
      </c>
      <c r="D11">
        <v>4</v>
      </c>
      <c r="E11">
        <v>-0.89951999999999999</v>
      </c>
      <c r="F11">
        <v>-1.9382999999999999</v>
      </c>
      <c r="G11" s="1">
        <v>2.2E-16</v>
      </c>
      <c r="H11">
        <v>1.2296E-2</v>
      </c>
      <c r="I11">
        <f t="shared" si="0"/>
        <v>1.9102361455083112</v>
      </c>
    </row>
    <row r="12" spans="1:9" x14ac:dyDescent="0.2">
      <c r="A12" t="s">
        <v>86</v>
      </c>
      <c r="B12" t="s">
        <v>87</v>
      </c>
      <c r="C12">
        <v>42</v>
      </c>
      <c r="D12">
        <v>36</v>
      </c>
      <c r="E12">
        <v>-0.59514</v>
      </c>
      <c r="F12">
        <v>-1.8949</v>
      </c>
      <c r="G12">
        <v>1.5528E-3</v>
      </c>
      <c r="H12">
        <v>1.2296E-2</v>
      </c>
      <c r="I12">
        <f t="shared" si="0"/>
        <v>1.9102361455083112</v>
      </c>
    </row>
    <row r="13" spans="1:9" x14ac:dyDescent="0.2">
      <c r="A13" t="s">
        <v>84</v>
      </c>
      <c r="B13" t="s">
        <v>85</v>
      </c>
      <c r="C13">
        <v>75</v>
      </c>
      <c r="D13">
        <v>54</v>
      </c>
      <c r="E13">
        <v>-0.53169</v>
      </c>
      <c r="F13">
        <v>-1.8996999999999999</v>
      </c>
      <c r="G13">
        <v>1.4815E-3</v>
      </c>
      <c r="H13">
        <v>1.1846000000000001E-2</v>
      </c>
      <c r="I13">
        <f t="shared" si="0"/>
        <v>1.9264282716950754</v>
      </c>
    </row>
    <row r="14" spans="1:9" x14ac:dyDescent="0.2">
      <c r="A14" t="s">
        <v>82</v>
      </c>
      <c r="B14" t="s">
        <v>83</v>
      </c>
      <c r="C14">
        <v>42</v>
      </c>
      <c r="D14">
        <v>36</v>
      </c>
      <c r="E14">
        <v>-0.59616000000000002</v>
      </c>
      <c r="F14">
        <v>-1.9044000000000001</v>
      </c>
      <c r="G14" s="1">
        <v>2.2E-16</v>
      </c>
      <c r="H14">
        <v>1.1405999999999999E-2</v>
      </c>
      <c r="I14">
        <f t="shared" si="0"/>
        <v>1.9428666327509132</v>
      </c>
    </row>
    <row r="15" spans="1:9" x14ac:dyDescent="0.2">
      <c r="A15" t="s">
        <v>70</v>
      </c>
      <c r="B15" t="s">
        <v>71</v>
      </c>
      <c r="C15">
        <v>10</v>
      </c>
      <c r="D15">
        <v>8</v>
      </c>
      <c r="E15">
        <v>-0.87948000000000004</v>
      </c>
      <c r="F15">
        <v>-1.9595</v>
      </c>
      <c r="G15" s="1">
        <v>2.2E-16</v>
      </c>
      <c r="H15">
        <v>9.8809999999999992E-3</v>
      </c>
      <c r="I15">
        <f t="shared" si="0"/>
        <v>2.0051991007053962</v>
      </c>
    </row>
    <row r="16" spans="1:9" x14ac:dyDescent="0.2">
      <c r="A16" t="s">
        <v>68</v>
      </c>
      <c r="B16" t="s">
        <v>69</v>
      </c>
      <c r="C16">
        <v>11</v>
      </c>
      <c r="D16">
        <v>8</v>
      </c>
      <c r="E16">
        <v>-0.84411000000000003</v>
      </c>
      <c r="F16">
        <v>-1.9899</v>
      </c>
      <c r="G16" s="1">
        <v>2.2E-16</v>
      </c>
      <c r="H16">
        <v>6.8618000000000004E-3</v>
      </c>
      <c r="I16">
        <f t="shared" si="0"/>
        <v>2.1635619444206502</v>
      </c>
    </row>
    <row r="17" spans="1:9" x14ac:dyDescent="0.2">
      <c r="A17" t="s">
        <v>66</v>
      </c>
      <c r="B17" t="s">
        <v>67</v>
      </c>
      <c r="C17">
        <v>12</v>
      </c>
      <c r="D17">
        <v>6</v>
      </c>
      <c r="E17">
        <v>-0.84394999999999998</v>
      </c>
      <c r="F17">
        <v>-2.0108000000000001</v>
      </c>
      <c r="G17" s="1">
        <v>2.2E-16</v>
      </c>
      <c r="H17">
        <v>6.4304999999999996E-3</v>
      </c>
      <c r="I17">
        <f t="shared" si="0"/>
        <v>2.191755257433686</v>
      </c>
    </row>
    <row r="18" spans="1:9" x14ac:dyDescent="0.2">
      <c r="A18" t="s">
        <v>64</v>
      </c>
      <c r="B18" t="s">
        <v>65</v>
      </c>
      <c r="C18">
        <v>12</v>
      </c>
      <c r="D18">
        <v>9</v>
      </c>
      <c r="E18">
        <v>-0.83901000000000003</v>
      </c>
      <c r="F18">
        <v>-2.0156000000000001</v>
      </c>
      <c r="G18" s="1">
        <v>2.2E-16</v>
      </c>
      <c r="H18">
        <v>5.6724000000000002E-3</v>
      </c>
      <c r="I18">
        <f t="shared" si="0"/>
        <v>2.2462331516494611</v>
      </c>
    </row>
    <row r="19" spans="1:9" x14ac:dyDescent="0.2">
      <c r="A19" t="s">
        <v>56</v>
      </c>
      <c r="B19" t="s">
        <v>57</v>
      </c>
      <c r="C19">
        <v>86</v>
      </c>
      <c r="D19">
        <v>53</v>
      </c>
      <c r="E19">
        <v>-0.59123000000000003</v>
      </c>
      <c r="F19">
        <v>-2.1192000000000002</v>
      </c>
      <c r="G19" s="1">
        <v>2.2E-16</v>
      </c>
      <c r="H19">
        <v>5.4894000000000002E-3</v>
      </c>
      <c r="I19">
        <f t="shared" si="0"/>
        <v>2.2604751220215551</v>
      </c>
    </row>
    <row r="20" spans="1:9" x14ac:dyDescent="0.2">
      <c r="A20" t="s">
        <v>62</v>
      </c>
      <c r="B20" t="s">
        <v>63</v>
      </c>
      <c r="C20">
        <v>220</v>
      </c>
      <c r="D20">
        <v>125</v>
      </c>
      <c r="E20">
        <v>-0.49330000000000002</v>
      </c>
      <c r="F20">
        <v>-2.0253999999999999</v>
      </c>
      <c r="G20" s="1">
        <v>2.2E-16</v>
      </c>
      <c r="H20">
        <v>5.4894000000000002E-3</v>
      </c>
      <c r="I20">
        <f t="shared" si="0"/>
        <v>2.2604751220215551</v>
      </c>
    </row>
    <row r="21" spans="1:9" x14ac:dyDescent="0.2">
      <c r="A21" t="s">
        <v>58</v>
      </c>
      <c r="B21" t="s">
        <v>59</v>
      </c>
      <c r="C21">
        <v>56</v>
      </c>
      <c r="D21">
        <v>36</v>
      </c>
      <c r="E21">
        <v>-0.63063000000000002</v>
      </c>
      <c r="F21">
        <v>-2.1030000000000002</v>
      </c>
      <c r="G21" s="1">
        <v>2.2E-16</v>
      </c>
      <c r="H21">
        <v>3.8425999999999998E-3</v>
      </c>
      <c r="I21">
        <f t="shared" si="0"/>
        <v>2.4153748215814819</v>
      </c>
    </row>
    <row r="22" spans="1:9" x14ac:dyDescent="0.2">
      <c r="A22" t="s">
        <v>60</v>
      </c>
      <c r="B22" t="s">
        <v>61</v>
      </c>
      <c r="C22">
        <v>17</v>
      </c>
      <c r="D22">
        <v>12</v>
      </c>
      <c r="E22">
        <v>-0.82286999999999999</v>
      </c>
      <c r="F22">
        <v>-2.0981999999999998</v>
      </c>
      <c r="G22" s="1">
        <v>2.2E-16</v>
      </c>
      <c r="H22">
        <v>2.1957999999999999E-3</v>
      </c>
      <c r="I22">
        <f t="shared" si="0"/>
        <v>2.6584072192547072</v>
      </c>
    </row>
  </sheetData>
  <autoFilter ref="A1:I22" xr:uid="{EC79CEF9-8190-4ADA-811E-976745176E1E}">
    <sortState xmlns:xlrd2="http://schemas.microsoft.com/office/spreadsheetml/2017/richdata2" ref="A2:I22">
      <sortCondition ref="I1:I22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GO aged</vt:lpstr>
      <vt:lpstr>GO young</vt:lpstr>
      <vt:lpstr>Reactome young</vt:lpstr>
    </vt:vector>
  </TitlesOfParts>
  <Company>Abbvie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Wang, Fei</dc:creator>
  <cp:lastModifiedBy>e67092</cp:lastModifiedBy>
  <dcterms:created xsi:type="dcterms:W3CDTF">2025-08-19T16:01:50Z</dcterms:created>
  <dcterms:modified xsi:type="dcterms:W3CDTF">2026-09-16T13:52:49Z</dcterms:modified>
</cp:coreProperties>
</file>