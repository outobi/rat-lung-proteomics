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utobi/Downloads/final analysis/final code/Script_5_single_factor_pathway/age_vs_young_ORA/"/>
    </mc:Choice>
  </mc:AlternateContent>
  <xr:revisionPtr revIDLastSave="0" documentId="13_ncr:1_{4C176209-DD87-864D-B4CA-14956CA7C3A9}" xr6:coauthVersionLast="47" xr6:coauthVersionMax="47" xr10:uidLastSave="{00000000-0000-0000-0000-000000000000}"/>
  <bookViews>
    <workbookView xWindow="37660" yWindow="1760" windowWidth="27240" windowHeight="16440" activeTab="5" xr2:uid="{DE6C5D33-BEF1-D94A-81A7-720802F342CF}"/>
  </bookViews>
  <sheets>
    <sheet name="aged GO select" sheetId="3" r:id="rId1"/>
    <sheet name="aged  GO BP" sheetId="1" r:id="rId2"/>
    <sheet name="aged GO MF" sheetId="4" r:id="rId3"/>
    <sheet name="aged GO CC" sheetId="5" r:id="rId4"/>
    <sheet name="young Reactome select" sheetId="7" r:id="rId5"/>
    <sheet name="young GO select" sheetId="9" r:id="rId6"/>
  </sheets>
  <definedNames>
    <definedName name="_xlnm._FilterDatabase" localSheetId="1" hidden="1">'aged  GO BP'!$A$1:$I$40</definedName>
    <definedName name="_xlnm._FilterDatabase" localSheetId="3" hidden="1">'aged GO CC'!$A$1:$H$7</definedName>
    <definedName name="_xlnm._FilterDatabase" localSheetId="2" hidden="1">'aged GO MF'!$B$1:$H$16</definedName>
    <definedName name="_xlnm._FilterDatabase" localSheetId="4" hidden="1">'young Reactome select'!$A$1:$H$10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2" i="4"/>
  <c r="I6" i="5"/>
  <c r="I5" i="5"/>
  <c r="I4" i="5"/>
  <c r="I3" i="5"/>
  <c r="I2" i="5"/>
  <c r="H9" i="7"/>
  <c r="H8" i="7"/>
  <c r="H7" i="7"/>
  <c r="H6" i="7"/>
  <c r="H5" i="7"/>
  <c r="H4" i="7"/>
  <c r="H3" i="7"/>
  <c r="H2" i="7"/>
  <c r="H10" i="7"/>
  <c r="I32" i="3"/>
  <c r="I20" i="3"/>
  <c r="I21" i="3"/>
  <c r="I22" i="3"/>
  <c r="I23" i="3"/>
  <c r="I24" i="3"/>
  <c r="I25" i="3"/>
  <c r="I26" i="3"/>
  <c r="I27" i="3"/>
  <c r="I28" i="3"/>
  <c r="I29" i="3"/>
  <c r="I30" i="3"/>
  <c r="I3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" i="3"/>
</calcChain>
</file>

<file path=xl/sharedStrings.xml><?xml version="1.0" encoding="utf-8"?>
<sst xmlns="http://schemas.openxmlformats.org/spreadsheetml/2006/main" count="338" uniqueCount="108">
  <si>
    <t>trans-synaptic signaling by BDNF (GO:0099191)</t>
  </si>
  <si>
    <t>+</t>
  </si>
  <si>
    <t xml:space="preserve"> &gt; 100</t>
  </si>
  <si>
    <t>trans-synaptic signaling by BDNF, modulating synaptic transmission (GO:0099183)</t>
  </si>
  <si>
    <t>complement activation, classical pathway (GO:0006958)</t>
  </si>
  <si>
    <t>humoral immune response mediated by circulating immunoglobulin (GO:0002455)</t>
  </si>
  <si>
    <t>complement activation (GO:0006956)</t>
  </si>
  <si>
    <t>acute inflammatory response (GO:0002526)</t>
  </si>
  <si>
    <t>negative regulation of wound healing (GO:0061045)</t>
  </si>
  <si>
    <t>primary alcohol metabolic process (GO:0034308)</t>
  </si>
  <si>
    <t>antimicrobial humoral response (GO:0019730)</t>
  </si>
  <si>
    <t>immunoglobulin mediated immune response (GO:0016064)</t>
  </si>
  <si>
    <t>humoral immune response (GO:0006959)</t>
  </si>
  <si>
    <t>B cell mediated immunity (GO:0019724)</t>
  </si>
  <si>
    <t>positive regulation of endocytosis (GO:0045807)</t>
  </si>
  <si>
    <t>leukocyte mediated immunity (GO:0002443)</t>
  </si>
  <si>
    <t>immune effector process (GO:0002252)</t>
  </si>
  <si>
    <t>regulation of endocytosis (GO:0030100)</t>
  </si>
  <si>
    <t>proteolysis (GO:0006508)</t>
  </si>
  <si>
    <t>defense response to symbiont (GO:0140546)</t>
  </si>
  <si>
    <t>defense response to other organism (GO:0098542)</t>
  </si>
  <si>
    <t>monocarboxylic acid metabolic process (GO:0032787)</t>
  </si>
  <si>
    <t>response to bacterium (GO:0009617)</t>
  </si>
  <si>
    <t>defense response (GO:0006952)</t>
  </si>
  <si>
    <t>immune response (GO:0006955)</t>
  </si>
  <si>
    <t>regulation of defense response (GO:0031347)</t>
  </si>
  <si>
    <t>response to other organism (GO:0051707)</t>
  </si>
  <si>
    <t>response to external biotic stimulus (GO:0043207)</t>
  </si>
  <si>
    <t>regulation of response to external stimulus (GO:0032101)</t>
  </si>
  <si>
    <t>biological process involved in interspecies interaction between organisms (GO:0044419)</t>
  </si>
  <si>
    <t>response to biotic stimulus (GO:0009607)</t>
  </si>
  <si>
    <t>immune system process (GO:0002376)</t>
  </si>
  <si>
    <t>response to external stimulus (GO:0009605)</t>
  </si>
  <si>
    <t>cell motility (GO:0048870)</t>
  </si>
  <si>
    <t>regulation of response to stress (GO:0080134)</t>
  </si>
  <si>
    <t>regulation of immune system process (GO:0002682)</t>
  </si>
  <si>
    <t>regulation of cell population proliferation (GO:0042127)</t>
  </si>
  <si>
    <t>response to stress (GO:0006950)</t>
  </si>
  <si>
    <t>response to stimulus (GO:0050896)</t>
  </si>
  <si>
    <t>biological_process (GO:0008150)</t>
  </si>
  <si>
    <t>Unclassified (UNCLASSIFIED)</t>
  </si>
  <si>
    <t>-</t>
  </si>
  <si>
    <t>GO</t>
  </si>
  <si>
    <t>Description</t>
  </si>
  <si>
    <t>Size</t>
  </si>
  <si>
    <t>Expect</t>
  </si>
  <si>
    <t>Ratio</t>
  </si>
  <si>
    <t>P Value</t>
  </si>
  <si>
    <t>FDR</t>
  </si>
  <si>
    <t>Log10(FDR)</t>
  </si>
  <si>
    <t>BP</t>
  </si>
  <si>
    <t>CC</t>
  </si>
  <si>
    <t>immunoglobulin complex, circulating (GO:0042571)</t>
  </si>
  <si>
    <t>9+2 motile cilium (GO:0097729)</t>
  </si>
  <si>
    <t>extracellular region (GO:0005576)</t>
  </si>
  <si>
    <t>MF</t>
  </si>
  <si>
    <t>immunoglobulin receptor binding (GO:0034987)</t>
  </si>
  <si>
    <t>serine-type endopeptidase activity (GO:0004252)</t>
  </si>
  <si>
    <t>serine-type peptidase activity (GO:0008236)</t>
  </si>
  <si>
    <t>serine hydrolase activity (GO:0017171)</t>
  </si>
  <si>
    <t>peptidase activity (GO:0008233)</t>
  </si>
  <si>
    <t>protein binding (GO:0005515)</t>
  </si>
  <si>
    <t>Ref size</t>
  </si>
  <si>
    <t>endopeptidase activity (GO:0004175)</t>
  </si>
  <si>
    <t>phospholipase A2 inhibitor activity (GO:0019834)</t>
  </si>
  <si>
    <t>signaling receptor binding (GO:0005102)</t>
  </si>
  <si>
    <t>binding (GO:0005488)</t>
  </si>
  <si>
    <t>lipase inhibitor activity (GO:0055102)</t>
  </si>
  <si>
    <t>molecular_function (GO:0003674)</t>
  </si>
  <si>
    <t>antigen binding (GO:0003823)</t>
  </si>
  <si>
    <t>phospholipase inhibitor activity (GO:0004859)</t>
  </si>
  <si>
    <t>extracellular protein-containing complex (GO:0140392)</t>
  </si>
  <si>
    <t>cellular anatomical structure (GO:0110165)</t>
  </si>
  <si>
    <t>ECM proteoglycans (R-RNO-3000178)</t>
  </si>
  <si>
    <t>Degradation of the extracellular matrix (R-RNO-1474228)</t>
  </si>
  <si>
    <t>Crosslinking of collagen fibrils (R-RNO-2243919)</t>
  </si>
  <si>
    <t>Collagen degradation (R-RNO-1442490)</t>
  </si>
  <si>
    <t>Assembly of collagen fibrils and other multimeric structures (R-RNO-2022090)</t>
  </si>
  <si>
    <t>Elastic fibre formation (R-RNO-1566948)</t>
  </si>
  <si>
    <t>Striated Muscle Contraction (R-RNO-390522)</t>
  </si>
  <si>
    <t>Collagen formation (R-RNO-1474290)</t>
  </si>
  <si>
    <t>Extracellular matrix organization (R-RNO-1474244)</t>
  </si>
  <si>
    <t>supramolecular fiber organization (GO:0097435)</t>
  </si>
  <si>
    <t>striated muscle contraction (GO:0006941)</t>
  </si>
  <si>
    <t>collagen fibril organization (GO:0030199)</t>
  </si>
  <si>
    <t>cardiac muscle contraction (GO:0060048)</t>
  </si>
  <si>
    <t>muscle structure development (GO:0061061)</t>
  </si>
  <si>
    <t>muscle system process (GO:0003012)</t>
  </si>
  <si>
    <t>collagen metabolic process (GO:0032963)</t>
  </si>
  <si>
    <t>muscle contraction (GO:0006936)</t>
  </si>
  <si>
    <t>extracellular structure organization (GO:0043062)</t>
  </si>
  <si>
    <t>extracellular matrix organization (GO:0030198)</t>
  </si>
  <si>
    <t>collagen biosynthetic process (GO:0032964)</t>
  </si>
  <si>
    <t>actin filament-based process (GO:0030029)</t>
  </si>
  <si>
    <t>muscle organ development (GO:0007517)</t>
  </si>
  <si>
    <t>cellular component organization (GO:0016043)</t>
  </si>
  <si>
    <t>cell development (GO:0048468)</t>
  </si>
  <si>
    <t>contractile muscle fiber (GO:0043292)</t>
  </si>
  <si>
    <t>extracellular matrix (GO:0031012)</t>
  </si>
  <si>
    <t>sarcomere (GO:0030017)</t>
  </si>
  <si>
    <t>site of polarized growth (GO:0030427)</t>
  </si>
  <si>
    <t>collagen trimer (GO:0005581)</t>
  </si>
  <si>
    <t>protein-containing complex binding (GO:0044877)</t>
  </si>
  <si>
    <t>actin binding (GO:0003779)</t>
  </si>
  <si>
    <t>collagen binding (GO:0005518)</t>
  </si>
  <si>
    <t>cytoskeletal protein binding (GO:0008092)</t>
  </si>
  <si>
    <t>structural constituent of muscle (GO:0008307)</t>
  </si>
  <si>
    <t>troponin C binding (GO:0030172)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</si>
</sst>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   "/>
    </font>
    <font>
      <b/>
      <sz val="12"/>
      <color theme="1"/>
      <name val="Arial  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1" fontId="0" fillId="0" borderId="0" xfId="0" quotePrefix="1" applyNumberFormat="1"/>
    <xf numFmtId="0" fontId="2" fillId="0" borderId="0" xfId="0" applyFont="1"/>
    <xf numFmtId="11" fontId="2" fillId="0" borderId="0" xfId="0" quotePrefix="1" applyNumberFormat="1" applyFont="1"/>
    <xf numFmtId="0" fontId="0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11" fontId="5" fillId="0" borderId="0" xfId="0" quotePrefix="1" applyNumberFormat="1" applyFont="1"/>
    <xf numFmtId="0" fontId="6" fillId="0" borderId="0" xfId="0" applyFo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ED7A-19ED-9542-B196-8DD72631FF9B}">
  <dimension ref="A1:I32"/>
  <sheetViews>
    <sheetView workbookViewId="0">
      <selection activeCell="A29" sqref="A29"/>
    </sheetView>
  </sheetViews>
  <sheetFormatPr baseColWidth="10" defaultRowHeight="16"/>
  <cols>
    <col min="2" max="2" width="83.6640625" bestFit="1" customWidth="1"/>
  </cols>
  <sheetData>
    <row r="1" spans="1:9" s="7" customFormat="1">
      <c r="A1" s="6" t="s">
        <v>42</v>
      </c>
      <c r="B1" s="6" t="s">
        <v>43</v>
      </c>
      <c r="C1" s="6" t="s">
        <v>62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  <c r="I1" s="6" t="s">
        <v>49</v>
      </c>
    </row>
    <row r="2" spans="1:9">
      <c r="A2" s="3" t="s">
        <v>50</v>
      </c>
      <c r="B2" s="3" t="s">
        <v>15</v>
      </c>
      <c r="C2" s="3">
        <v>262</v>
      </c>
      <c r="D2" s="3">
        <v>7</v>
      </c>
      <c r="E2" s="3">
        <v>1</v>
      </c>
      <c r="F2" s="3">
        <v>7.02</v>
      </c>
      <c r="G2" s="4">
        <v>6.3999999999999997E-5</v>
      </c>
      <c r="H2" s="4">
        <v>3.2199999999999999E-2</v>
      </c>
      <c r="I2">
        <f>-LOG10(H2)</f>
        <v>1.4921441283041692</v>
      </c>
    </row>
    <row r="3" spans="1:9">
      <c r="A3" s="3" t="s">
        <v>50</v>
      </c>
      <c r="B3" s="3" t="s">
        <v>9</v>
      </c>
      <c r="C3" s="3">
        <v>102</v>
      </c>
      <c r="D3" s="3">
        <v>5</v>
      </c>
      <c r="E3" s="3">
        <v>0.39</v>
      </c>
      <c r="F3" s="3">
        <v>12.89</v>
      </c>
      <c r="G3" s="4">
        <v>4.4199999999999997E-5</v>
      </c>
      <c r="H3" s="4">
        <v>2.3900000000000001E-2</v>
      </c>
      <c r="I3">
        <f t="shared" ref="I3:I24" si="0">-LOG10(H3)</f>
        <v>1.6216020990518623</v>
      </c>
    </row>
    <row r="4" spans="1:9">
      <c r="A4" s="3" t="s">
        <v>50</v>
      </c>
      <c r="B4" s="3" t="s">
        <v>13</v>
      </c>
      <c r="C4" s="3">
        <v>140</v>
      </c>
      <c r="D4" s="3">
        <v>6</v>
      </c>
      <c r="E4" s="3">
        <v>0.53</v>
      </c>
      <c r="F4" s="3">
        <v>11.27</v>
      </c>
      <c r="G4" s="4">
        <v>1.59E-5</v>
      </c>
      <c r="H4" s="4">
        <v>1.0500000000000001E-2</v>
      </c>
      <c r="I4">
        <f t="shared" si="0"/>
        <v>1.9788107009300619</v>
      </c>
    </row>
    <row r="5" spans="1:9">
      <c r="A5" s="3" t="s">
        <v>50</v>
      </c>
      <c r="B5" s="3" t="s">
        <v>11</v>
      </c>
      <c r="C5" s="3">
        <v>132</v>
      </c>
      <c r="D5" s="3">
        <v>6</v>
      </c>
      <c r="E5" s="3">
        <v>0.5</v>
      </c>
      <c r="F5" s="3">
        <v>11.95</v>
      </c>
      <c r="G5" s="4">
        <v>1.1399999999999999E-5</v>
      </c>
      <c r="H5" s="4">
        <v>8.2699999999999996E-3</v>
      </c>
      <c r="I5">
        <f t="shared" si="0"/>
        <v>2.0824944904474534</v>
      </c>
    </row>
    <row r="6" spans="1:9">
      <c r="A6" s="3" t="s">
        <v>50</v>
      </c>
      <c r="B6" s="3" t="s">
        <v>30</v>
      </c>
      <c r="C6" s="3">
        <v>1405</v>
      </c>
      <c r="D6" s="3">
        <v>18</v>
      </c>
      <c r="E6" s="3">
        <v>5.34</v>
      </c>
      <c r="F6" s="3">
        <v>3.37</v>
      </c>
      <c r="G6" s="4">
        <v>4.6299999999999997E-6</v>
      </c>
      <c r="H6" s="4">
        <v>4.4999999999999997E-3</v>
      </c>
      <c r="I6">
        <f t="shared" si="0"/>
        <v>2.3467874862246565</v>
      </c>
    </row>
    <row r="7" spans="1:9">
      <c r="A7" s="3" t="s">
        <v>50</v>
      </c>
      <c r="B7" s="3" t="s">
        <v>20</v>
      </c>
      <c r="C7" s="3">
        <v>631</v>
      </c>
      <c r="D7" s="3">
        <v>12</v>
      </c>
      <c r="E7" s="3">
        <v>2.4</v>
      </c>
      <c r="F7" s="3">
        <v>5</v>
      </c>
      <c r="G7" s="4">
        <v>4.7099999999999998E-6</v>
      </c>
      <c r="H7" s="4">
        <v>4.2900000000000004E-3</v>
      </c>
      <c r="I7">
        <f t="shared" si="0"/>
        <v>2.3675427078152755</v>
      </c>
    </row>
    <row r="8" spans="1:9">
      <c r="A8" s="3" t="s">
        <v>50</v>
      </c>
      <c r="B8" s="3" t="s">
        <v>26</v>
      </c>
      <c r="C8" s="3">
        <v>1365</v>
      </c>
      <c r="D8" s="3">
        <v>18</v>
      </c>
      <c r="E8" s="3">
        <v>5.19</v>
      </c>
      <c r="F8" s="3">
        <v>3.47</v>
      </c>
      <c r="G8" s="4">
        <v>3.0900000000000001E-6</v>
      </c>
      <c r="H8" s="4">
        <v>3.7599999999999999E-3</v>
      </c>
      <c r="I8">
        <f t="shared" si="0"/>
        <v>2.4248121550723392</v>
      </c>
    </row>
    <row r="9" spans="1:9">
      <c r="A9" s="3" t="s">
        <v>50</v>
      </c>
      <c r="B9" s="3" t="s">
        <v>22</v>
      </c>
      <c r="C9" s="3">
        <v>828</v>
      </c>
      <c r="D9" s="3">
        <v>14</v>
      </c>
      <c r="E9" s="3">
        <v>3.15</v>
      </c>
      <c r="F9" s="3">
        <v>4.4400000000000004</v>
      </c>
      <c r="G9" s="4">
        <v>2.7700000000000002E-6</v>
      </c>
      <c r="H9" s="4">
        <v>3.6700000000000001E-3</v>
      </c>
      <c r="I9">
        <f t="shared" si="0"/>
        <v>2.4353339357479107</v>
      </c>
    </row>
    <row r="10" spans="1:9">
      <c r="A10" s="3" t="s">
        <v>50</v>
      </c>
      <c r="B10" s="3" t="s">
        <v>27</v>
      </c>
      <c r="C10" s="3">
        <v>1369</v>
      </c>
      <c r="D10" s="3">
        <v>18</v>
      </c>
      <c r="E10" s="3">
        <v>5.21</v>
      </c>
      <c r="F10" s="3">
        <v>3.46</v>
      </c>
      <c r="G10" s="4">
        <v>3.2200000000000001E-6</v>
      </c>
      <c r="H10" s="4">
        <v>3.6099999999999999E-3</v>
      </c>
      <c r="I10">
        <f t="shared" si="0"/>
        <v>2.4424927980943423</v>
      </c>
    </row>
    <row r="11" spans="1:9">
      <c r="A11" s="3" t="s">
        <v>50</v>
      </c>
      <c r="B11" s="3" t="s">
        <v>29</v>
      </c>
      <c r="C11" s="3">
        <v>1480</v>
      </c>
      <c r="D11" s="3">
        <v>19</v>
      </c>
      <c r="E11" s="3">
        <v>5.63</v>
      </c>
      <c r="F11" s="3">
        <v>3.37</v>
      </c>
      <c r="G11" s="4">
        <v>2.3199999999999998E-6</v>
      </c>
      <c r="H11" s="4">
        <v>3.3700000000000002E-3</v>
      </c>
      <c r="I11">
        <f t="shared" si="0"/>
        <v>2.4723700991286615</v>
      </c>
    </row>
    <row r="12" spans="1:9">
      <c r="A12" s="3" t="s">
        <v>50</v>
      </c>
      <c r="B12" s="3" t="s">
        <v>5</v>
      </c>
      <c r="C12" s="3">
        <v>20</v>
      </c>
      <c r="D12" s="3">
        <v>4</v>
      </c>
      <c r="E12" s="3">
        <v>0.08</v>
      </c>
      <c r="F12" s="3">
        <v>52.57</v>
      </c>
      <c r="G12" s="4">
        <v>9.0299999999999997E-7</v>
      </c>
      <c r="H12" s="4">
        <v>1.65E-3</v>
      </c>
      <c r="I12">
        <f t="shared" si="0"/>
        <v>2.7825160557860937</v>
      </c>
    </row>
    <row r="13" spans="1:9">
      <c r="A13" s="3" t="s">
        <v>50</v>
      </c>
      <c r="B13" s="3" t="s">
        <v>16</v>
      </c>
      <c r="C13" s="3">
        <v>414</v>
      </c>
      <c r="D13" s="3">
        <v>11</v>
      </c>
      <c r="E13" s="3">
        <v>1.57</v>
      </c>
      <c r="F13" s="3">
        <v>6.98</v>
      </c>
      <c r="G13" s="4">
        <v>4.89E-7</v>
      </c>
      <c r="H13" s="4">
        <v>1.1900000000000001E-3</v>
      </c>
      <c r="I13">
        <f t="shared" si="0"/>
        <v>2.9244530386074694</v>
      </c>
    </row>
    <row r="14" spans="1:9">
      <c r="A14" s="3" t="s">
        <v>50</v>
      </c>
      <c r="B14" s="3" t="s">
        <v>23</v>
      </c>
      <c r="C14" s="3">
        <v>1209</v>
      </c>
      <c r="D14" s="3">
        <v>18</v>
      </c>
      <c r="E14" s="3">
        <v>4.5999999999999996</v>
      </c>
      <c r="F14" s="3">
        <v>3.91</v>
      </c>
      <c r="G14" s="4">
        <v>5.4700000000000001E-7</v>
      </c>
      <c r="H14" s="4">
        <v>1.14E-3</v>
      </c>
      <c r="I14">
        <f t="shared" si="0"/>
        <v>2.9430951486635273</v>
      </c>
    </row>
    <row r="15" spans="1:9">
      <c r="A15" s="3" t="s">
        <v>50</v>
      </c>
      <c r="B15" s="3" t="s">
        <v>32</v>
      </c>
      <c r="C15" s="3">
        <v>1946</v>
      </c>
      <c r="D15" s="3">
        <v>24</v>
      </c>
      <c r="E15" s="3">
        <v>7.4</v>
      </c>
      <c r="F15" s="3">
        <v>3.24</v>
      </c>
      <c r="G15" s="4">
        <v>1.5800000000000001E-7</v>
      </c>
      <c r="H15" s="4">
        <v>5.7600000000000001E-4</v>
      </c>
      <c r="I15">
        <f t="shared" si="0"/>
        <v>3.2395775165767882</v>
      </c>
    </row>
    <row r="16" spans="1:9">
      <c r="A16" s="3" t="s">
        <v>50</v>
      </c>
      <c r="B16" s="3" t="s">
        <v>4</v>
      </c>
      <c r="C16" s="3">
        <v>14</v>
      </c>
      <c r="D16" s="3">
        <v>4</v>
      </c>
      <c r="E16" s="3">
        <v>0.05</v>
      </c>
      <c r="F16" s="3">
        <v>75.11</v>
      </c>
      <c r="G16" s="4">
        <v>1.9000000000000001E-7</v>
      </c>
      <c r="H16" s="4">
        <v>5.53E-4</v>
      </c>
      <c r="I16">
        <f t="shared" si="0"/>
        <v>3.2572748686953017</v>
      </c>
    </row>
    <row r="17" spans="1:9">
      <c r="A17" s="3" t="s">
        <v>50</v>
      </c>
      <c r="B17" s="3" t="s">
        <v>12</v>
      </c>
      <c r="C17" s="3">
        <v>199</v>
      </c>
      <c r="D17" s="3">
        <v>9</v>
      </c>
      <c r="E17" s="3">
        <v>0.76</v>
      </c>
      <c r="F17" s="3">
        <v>11.89</v>
      </c>
      <c r="G17" s="4">
        <v>6.8099999999999994E-8</v>
      </c>
      <c r="H17" s="4">
        <v>3.3100000000000002E-4</v>
      </c>
      <c r="I17">
        <f t="shared" si="0"/>
        <v>3.4801720062242811</v>
      </c>
    </row>
    <row r="18" spans="1:9">
      <c r="A18" s="3" t="s">
        <v>50</v>
      </c>
      <c r="B18" s="3" t="s">
        <v>31</v>
      </c>
      <c r="C18" s="3">
        <v>1956</v>
      </c>
      <c r="D18" s="3">
        <v>25</v>
      </c>
      <c r="E18" s="3">
        <v>7.44</v>
      </c>
      <c r="F18" s="3">
        <v>3.36</v>
      </c>
      <c r="G18" s="4">
        <v>4.0000000000000001E-8</v>
      </c>
      <c r="H18" s="4">
        <v>2.9100000000000003E-4</v>
      </c>
      <c r="I18">
        <f t="shared" si="0"/>
        <v>3.5361070110140926</v>
      </c>
    </row>
    <row r="19" spans="1:9">
      <c r="A19" s="3" t="s">
        <v>50</v>
      </c>
      <c r="B19" s="3" t="s">
        <v>6</v>
      </c>
      <c r="C19" s="3">
        <v>39</v>
      </c>
      <c r="D19" s="3">
        <v>6</v>
      </c>
      <c r="E19" s="3">
        <v>0.15</v>
      </c>
      <c r="F19" s="3">
        <v>40.44</v>
      </c>
      <c r="G19" s="4">
        <v>7.4999999999999993E-9</v>
      </c>
      <c r="H19" s="4">
        <v>1.0900000000000001E-4</v>
      </c>
      <c r="I19">
        <f t="shared" si="0"/>
        <v>3.9625735020593762</v>
      </c>
    </row>
    <row r="20" spans="1:9">
      <c r="A20" t="s">
        <v>51</v>
      </c>
      <c r="B20" s="3" t="s">
        <v>54</v>
      </c>
      <c r="C20">
        <v>2169</v>
      </c>
      <c r="D20">
        <v>38</v>
      </c>
      <c r="E20">
        <v>8.25</v>
      </c>
      <c r="F20">
        <v>4.6100000000000003</v>
      </c>
      <c r="G20" s="2">
        <v>6.1800000000000001E-17</v>
      </c>
      <c r="H20" s="2">
        <v>1.25E-13</v>
      </c>
      <c r="I20">
        <f t="shared" si="0"/>
        <v>12.903089986991944</v>
      </c>
    </row>
    <row r="21" spans="1:9">
      <c r="A21" t="s">
        <v>51</v>
      </c>
      <c r="B21" s="3" t="s">
        <v>72</v>
      </c>
      <c r="C21">
        <v>18111</v>
      </c>
      <c r="D21">
        <v>86</v>
      </c>
      <c r="E21">
        <v>68.900000000000006</v>
      </c>
      <c r="F21">
        <v>1.25</v>
      </c>
      <c r="G21" s="2">
        <v>7.1499999999999998E-8</v>
      </c>
      <c r="H21" s="2">
        <v>3.6199999999999999E-5</v>
      </c>
      <c r="I21">
        <f t="shared" si="0"/>
        <v>4.4412914294668342</v>
      </c>
    </row>
    <row r="22" spans="1:9">
      <c r="A22" t="s">
        <v>51</v>
      </c>
      <c r="B22" s="3" t="s">
        <v>52</v>
      </c>
      <c r="C22">
        <v>7</v>
      </c>
      <c r="D22">
        <v>3</v>
      </c>
      <c r="E22">
        <v>0.03</v>
      </c>
      <c r="F22">
        <v>100</v>
      </c>
      <c r="G22" s="2">
        <v>1.84E-6</v>
      </c>
      <c r="H22" s="2">
        <v>7.45E-4</v>
      </c>
      <c r="I22">
        <f t="shared" si="0"/>
        <v>3.1278437272517072</v>
      </c>
    </row>
    <row r="23" spans="1:9">
      <c r="A23" t="s">
        <v>51</v>
      </c>
      <c r="B23" s="3" t="s">
        <v>71</v>
      </c>
      <c r="C23">
        <v>107</v>
      </c>
      <c r="D23">
        <v>5</v>
      </c>
      <c r="E23">
        <v>0.41</v>
      </c>
      <c r="F23">
        <v>12.28</v>
      </c>
      <c r="G23" s="2">
        <v>5.5600000000000003E-5</v>
      </c>
      <c r="H23" s="2">
        <v>1.8800000000000001E-2</v>
      </c>
      <c r="I23">
        <f t="shared" si="0"/>
        <v>1.7258421507363202</v>
      </c>
    </row>
    <row r="24" spans="1:9">
      <c r="A24" t="s">
        <v>51</v>
      </c>
      <c r="B24" s="3" t="s">
        <v>53</v>
      </c>
      <c r="C24">
        <v>286</v>
      </c>
      <c r="D24">
        <v>7</v>
      </c>
      <c r="E24">
        <v>1.0900000000000001</v>
      </c>
      <c r="F24">
        <v>6.43</v>
      </c>
      <c r="G24" s="2">
        <v>1.11E-4</v>
      </c>
      <c r="H24" s="2">
        <v>3.2000000000000001E-2</v>
      </c>
      <c r="I24">
        <f t="shared" si="0"/>
        <v>1.494850021680094</v>
      </c>
    </row>
    <row r="25" spans="1:9">
      <c r="A25" s="3" t="s">
        <v>55</v>
      </c>
      <c r="B25" s="3" t="s">
        <v>70</v>
      </c>
      <c r="C25">
        <v>10</v>
      </c>
      <c r="D25">
        <v>3</v>
      </c>
      <c r="E25">
        <v>0.04</v>
      </c>
      <c r="F25">
        <v>78.86</v>
      </c>
      <c r="G25" s="2">
        <v>6.2600000000000002E-6</v>
      </c>
      <c r="H25" s="2">
        <v>5.3499999999999997E-3</v>
      </c>
      <c r="I25">
        <f t="shared" ref="I25:I32" si="1">-LOG10(H25)</f>
        <v>2.2716462179787715</v>
      </c>
    </row>
    <row r="26" spans="1:9">
      <c r="A26" s="3" t="s">
        <v>55</v>
      </c>
      <c r="B26" s="3" t="s">
        <v>60</v>
      </c>
      <c r="C26">
        <v>600</v>
      </c>
      <c r="D26">
        <v>12</v>
      </c>
      <c r="E26">
        <v>2.2799999999999998</v>
      </c>
      <c r="F26">
        <v>5.26</v>
      </c>
      <c r="G26" s="2">
        <v>2.8100000000000002E-6</v>
      </c>
      <c r="H26" s="2">
        <v>2.8900000000000002E-3</v>
      </c>
      <c r="I26">
        <f t="shared" si="1"/>
        <v>2.5391021572434522</v>
      </c>
    </row>
    <row r="27" spans="1:9">
      <c r="A27" s="3" t="s">
        <v>55</v>
      </c>
      <c r="B27" s="3" t="s">
        <v>57</v>
      </c>
      <c r="C27">
        <v>185</v>
      </c>
      <c r="D27">
        <v>8</v>
      </c>
      <c r="E27">
        <v>0.7</v>
      </c>
      <c r="F27">
        <v>11.37</v>
      </c>
      <c r="G27" s="2">
        <v>5.3399999999999999E-7</v>
      </c>
      <c r="H27" s="2">
        <v>2.7399999999999998E-3</v>
      </c>
      <c r="I27">
        <f t="shared" si="1"/>
        <v>2.5622494371796121</v>
      </c>
    </row>
    <row r="28" spans="1:9">
      <c r="A28" s="3" t="s">
        <v>55</v>
      </c>
      <c r="B28" s="3" t="s">
        <v>56</v>
      </c>
      <c r="C28">
        <v>20</v>
      </c>
      <c r="D28">
        <v>3</v>
      </c>
      <c r="E28">
        <v>0.08</v>
      </c>
      <c r="F28">
        <v>39.43</v>
      </c>
      <c r="G28" s="2">
        <v>5.7800000000000002E-5</v>
      </c>
      <c r="H28" s="2">
        <v>2.2800000000000001E-2</v>
      </c>
      <c r="I28">
        <f t="shared" si="1"/>
        <v>1.6420651529995463</v>
      </c>
    </row>
    <row r="29" spans="1:9">
      <c r="A29" s="3" t="s">
        <v>55</v>
      </c>
      <c r="B29" s="3" t="s">
        <v>58</v>
      </c>
      <c r="C29">
        <v>201</v>
      </c>
      <c r="D29">
        <v>8</v>
      </c>
      <c r="E29">
        <v>0.76</v>
      </c>
      <c r="F29">
        <v>10.46</v>
      </c>
      <c r="G29" s="2">
        <v>9.9900000000000009E-7</v>
      </c>
      <c r="H29" s="2">
        <v>1.7099999999999999E-3</v>
      </c>
      <c r="I29">
        <f t="shared" si="1"/>
        <v>2.7670038896078464</v>
      </c>
    </row>
    <row r="30" spans="1:9">
      <c r="A30" s="3" t="s">
        <v>55</v>
      </c>
      <c r="B30" s="3" t="s">
        <v>59</v>
      </c>
      <c r="C30">
        <v>208</v>
      </c>
      <c r="D30">
        <v>8</v>
      </c>
      <c r="E30">
        <v>0.79</v>
      </c>
      <c r="F30">
        <v>10.11</v>
      </c>
      <c r="G30" s="2">
        <v>1.2899999999999999E-6</v>
      </c>
      <c r="H30" s="2">
        <v>1.66E-3</v>
      </c>
      <c r="I30">
        <f t="shared" si="1"/>
        <v>2.779891911959945</v>
      </c>
    </row>
    <row r="31" spans="1:9">
      <c r="A31" s="3" t="s">
        <v>55</v>
      </c>
      <c r="B31" s="3" t="s">
        <v>61</v>
      </c>
      <c r="C31">
        <v>7167</v>
      </c>
      <c r="D31">
        <v>50</v>
      </c>
      <c r="E31">
        <v>27.26</v>
      </c>
      <c r="F31">
        <v>1.83</v>
      </c>
      <c r="G31" s="2">
        <v>5.8500000000000001E-7</v>
      </c>
      <c r="H31" s="2">
        <v>1.5E-3</v>
      </c>
      <c r="I31">
        <f t="shared" si="1"/>
        <v>2.8239087409443187</v>
      </c>
    </row>
    <row r="32" spans="1:9">
      <c r="A32" s="3" t="s">
        <v>55</v>
      </c>
      <c r="B32" s="3" t="s">
        <v>67</v>
      </c>
      <c r="C32">
        <v>16</v>
      </c>
      <c r="D32">
        <v>3</v>
      </c>
      <c r="E32">
        <v>0.06</v>
      </c>
      <c r="F32">
        <v>49.29</v>
      </c>
      <c r="G32" s="2">
        <v>2.87E-5</v>
      </c>
      <c r="H32" s="2">
        <v>1.47E-2</v>
      </c>
      <c r="I32">
        <f t="shared" si="1"/>
        <v>1.832682665251824</v>
      </c>
    </row>
  </sheetData>
  <conditionalFormatting sqref="B1:B32">
    <cfRule type="duplicateValues" dxfId="5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1976-1A18-DE44-8CFC-F0FCF6051BD2}">
  <dimension ref="A1:I40"/>
  <sheetViews>
    <sheetView zoomScale="117" zoomScaleNormal="117" workbookViewId="0">
      <selection sqref="A1:XFD1"/>
    </sheetView>
  </sheetViews>
  <sheetFormatPr baseColWidth="10" defaultRowHeight="16"/>
  <cols>
    <col min="2" max="2" width="73.83203125" bestFit="1" customWidth="1"/>
  </cols>
  <sheetData>
    <row r="1" spans="1:9" s="7" customFormat="1">
      <c r="A1" s="6" t="s">
        <v>42</v>
      </c>
      <c r="B1" s="6" t="s">
        <v>43</v>
      </c>
      <c r="C1" s="6" t="s">
        <v>62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  <c r="I1" s="6" t="s">
        <v>49</v>
      </c>
    </row>
    <row r="2" spans="1:9">
      <c r="A2" s="3" t="s">
        <v>50</v>
      </c>
      <c r="B2" s="3" t="s">
        <v>25</v>
      </c>
      <c r="C2" s="3">
        <v>876</v>
      </c>
      <c r="D2" s="3">
        <v>12</v>
      </c>
      <c r="E2" s="3">
        <v>3.33</v>
      </c>
      <c r="F2" s="3" t="s">
        <v>1</v>
      </c>
      <c r="G2" s="3">
        <v>3.6</v>
      </c>
      <c r="H2" s="4">
        <v>1.17E-4</v>
      </c>
      <c r="I2" s="4">
        <v>4.4900000000000002E-2</v>
      </c>
    </row>
    <row r="3" spans="1:9">
      <c r="A3" s="3" t="s">
        <v>50</v>
      </c>
      <c r="B3" s="3" t="s">
        <v>21</v>
      </c>
      <c r="C3" s="3">
        <v>496</v>
      </c>
      <c r="D3" s="3">
        <v>9</v>
      </c>
      <c r="E3" s="3">
        <v>1.89</v>
      </c>
      <c r="F3" s="3" t="s">
        <v>1</v>
      </c>
      <c r="G3" s="3">
        <v>4.7699999999999996</v>
      </c>
      <c r="H3" s="4">
        <v>1.13E-4</v>
      </c>
      <c r="I3" s="4">
        <v>4.4600000000000001E-2</v>
      </c>
    </row>
    <row r="4" spans="1:9">
      <c r="A4" s="3" t="s">
        <v>50</v>
      </c>
      <c r="B4" s="3" t="s">
        <v>33</v>
      </c>
      <c r="C4" s="3">
        <v>1162</v>
      </c>
      <c r="D4" s="3">
        <v>14</v>
      </c>
      <c r="E4" s="3">
        <v>4.42</v>
      </c>
      <c r="F4" s="3" t="s">
        <v>1</v>
      </c>
      <c r="G4" s="3">
        <v>3.17</v>
      </c>
      <c r="H4" s="4">
        <v>1.18E-4</v>
      </c>
      <c r="I4" s="4">
        <v>4.4299999999999999E-2</v>
      </c>
    </row>
    <row r="5" spans="1:9">
      <c r="A5" s="3" t="s">
        <v>50</v>
      </c>
      <c r="B5" s="3" t="s">
        <v>0</v>
      </c>
      <c r="C5" s="3">
        <v>4</v>
      </c>
      <c r="D5" s="3">
        <v>2</v>
      </c>
      <c r="E5" s="3">
        <v>0.02</v>
      </c>
      <c r="F5" s="3" t="s">
        <v>1</v>
      </c>
      <c r="G5" s="3">
        <v>100</v>
      </c>
      <c r="H5" s="4">
        <v>8.5400000000000002E-5</v>
      </c>
      <c r="I5" s="4">
        <v>4.0099999999999997E-2</v>
      </c>
    </row>
    <row r="6" spans="1:9">
      <c r="A6" s="3" t="s">
        <v>50</v>
      </c>
      <c r="B6" s="3" t="s">
        <v>14</v>
      </c>
      <c r="C6" s="3">
        <v>194</v>
      </c>
      <c r="D6" s="3">
        <v>6</v>
      </c>
      <c r="E6" s="3">
        <v>0.74</v>
      </c>
      <c r="F6" s="3" t="s">
        <v>1</v>
      </c>
      <c r="G6" s="3">
        <v>8.1300000000000008</v>
      </c>
      <c r="H6" s="4">
        <v>9.8499999999999995E-5</v>
      </c>
      <c r="I6" s="4">
        <v>3.9800000000000002E-2</v>
      </c>
    </row>
    <row r="7" spans="1:9">
      <c r="A7" s="3" t="s">
        <v>50</v>
      </c>
      <c r="B7" s="3" t="s">
        <v>3</v>
      </c>
      <c r="C7" s="3">
        <v>4</v>
      </c>
      <c r="D7" s="3">
        <v>2</v>
      </c>
      <c r="E7" s="3">
        <v>0.02</v>
      </c>
      <c r="F7" s="3" t="s">
        <v>1</v>
      </c>
      <c r="G7" s="3">
        <v>100</v>
      </c>
      <c r="H7" s="4">
        <v>8.5400000000000002E-5</v>
      </c>
      <c r="I7" s="4">
        <v>3.8899999999999997E-2</v>
      </c>
    </row>
    <row r="8" spans="1:9">
      <c r="A8" s="3" t="s">
        <v>50</v>
      </c>
      <c r="B8" s="3" t="s">
        <v>38</v>
      </c>
      <c r="C8" s="3">
        <v>8655</v>
      </c>
      <c r="D8" s="3">
        <v>51</v>
      </c>
      <c r="E8" s="3">
        <v>32.92</v>
      </c>
      <c r="F8" s="3" t="s">
        <v>1</v>
      </c>
      <c r="G8" s="3">
        <v>1.55</v>
      </c>
      <c r="H8" s="4">
        <v>9.0199999999999997E-5</v>
      </c>
      <c r="I8" s="4">
        <v>3.8600000000000002E-2</v>
      </c>
    </row>
    <row r="9" spans="1:9">
      <c r="A9" s="3" t="s">
        <v>50</v>
      </c>
      <c r="B9" s="3" t="s">
        <v>35</v>
      </c>
      <c r="C9" s="3">
        <v>1595</v>
      </c>
      <c r="D9" s="3">
        <v>17</v>
      </c>
      <c r="E9" s="3">
        <v>6.07</v>
      </c>
      <c r="F9" s="3" t="s">
        <v>1</v>
      </c>
      <c r="G9" s="3">
        <v>2.8</v>
      </c>
      <c r="H9" s="4">
        <v>9.2200000000000005E-5</v>
      </c>
      <c r="I9" s="4">
        <v>3.8399999999999997E-2</v>
      </c>
    </row>
    <row r="10" spans="1:9">
      <c r="A10" s="3" t="s">
        <v>50</v>
      </c>
      <c r="B10" s="3" t="s">
        <v>8</v>
      </c>
      <c r="C10" s="3">
        <v>61</v>
      </c>
      <c r="D10" s="3">
        <v>4</v>
      </c>
      <c r="E10" s="3">
        <v>0.23</v>
      </c>
      <c r="F10" s="3" t="s">
        <v>1</v>
      </c>
      <c r="G10" s="3">
        <v>17.239999999999998</v>
      </c>
      <c r="H10" s="4">
        <v>8.6399999999999999E-5</v>
      </c>
      <c r="I10" s="4">
        <v>3.8100000000000002E-2</v>
      </c>
    </row>
    <row r="11" spans="1:9">
      <c r="A11" s="3" t="s">
        <v>50</v>
      </c>
      <c r="B11" s="3" t="s">
        <v>36</v>
      </c>
      <c r="C11" s="3">
        <v>1725</v>
      </c>
      <c r="D11" s="3">
        <v>18</v>
      </c>
      <c r="E11" s="3">
        <v>6.56</v>
      </c>
      <c r="F11" s="3" t="s">
        <v>1</v>
      </c>
      <c r="G11" s="3">
        <v>2.74</v>
      </c>
      <c r="H11" s="4">
        <v>7.2600000000000003E-5</v>
      </c>
      <c r="I11" s="4">
        <v>3.5200000000000002E-2</v>
      </c>
    </row>
    <row r="12" spans="1:9">
      <c r="A12" s="3" t="s">
        <v>50</v>
      </c>
      <c r="B12" s="3" t="s">
        <v>17</v>
      </c>
      <c r="C12" s="3">
        <v>355</v>
      </c>
      <c r="D12" s="3">
        <v>8</v>
      </c>
      <c r="E12" s="3">
        <v>1.35</v>
      </c>
      <c r="F12" s="3" t="s">
        <v>1</v>
      </c>
      <c r="G12" s="3">
        <v>5.92</v>
      </c>
      <c r="H12" s="4">
        <v>6.2700000000000006E-5</v>
      </c>
      <c r="I12" s="4">
        <v>3.2599999999999997E-2</v>
      </c>
    </row>
    <row r="13" spans="1:9">
      <c r="A13" s="3" t="s">
        <v>50</v>
      </c>
      <c r="B13" s="3" t="s">
        <v>15</v>
      </c>
      <c r="C13" s="3">
        <v>262</v>
      </c>
      <c r="D13" s="3">
        <v>7</v>
      </c>
      <c r="E13" s="3">
        <v>1</v>
      </c>
      <c r="F13" s="3" t="s">
        <v>1</v>
      </c>
      <c r="G13" s="3">
        <v>7.02</v>
      </c>
      <c r="H13" s="4">
        <v>6.3999999999999997E-5</v>
      </c>
      <c r="I13" s="4">
        <v>3.2199999999999999E-2</v>
      </c>
    </row>
    <row r="14" spans="1:9">
      <c r="A14" s="3" t="s">
        <v>50</v>
      </c>
      <c r="B14" s="3" t="s">
        <v>40</v>
      </c>
      <c r="C14" s="3">
        <v>5483</v>
      </c>
      <c r="D14" s="3">
        <v>6</v>
      </c>
      <c r="E14" s="3">
        <v>20.86</v>
      </c>
      <c r="F14" s="3" t="s">
        <v>41</v>
      </c>
      <c r="G14" s="3">
        <v>0.28999999999999998</v>
      </c>
      <c r="H14" s="4">
        <v>4.32E-5</v>
      </c>
      <c r="I14" s="4">
        <v>2.5100000000000001E-2</v>
      </c>
    </row>
    <row r="15" spans="1:9">
      <c r="A15" s="3" t="s">
        <v>50</v>
      </c>
      <c r="B15" s="3" t="s">
        <v>39</v>
      </c>
      <c r="C15" s="3">
        <v>17387</v>
      </c>
      <c r="D15" s="3">
        <v>81</v>
      </c>
      <c r="E15" s="3">
        <v>66.14</v>
      </c>
      <c r="F15" s="3" t="s">
        <v>1</v>
      </c>
      <c r="G15" s="3">
        <v>1.22</v>
      </c>
      <c r="H15" s="4">
        <v>4.32E-5</v>
      </c>
      <c r="I15" s="4">
        <v>2.4199999999999999E-2</v>
      </c>
    </row>
    <row r="16" spans="1:9">
      <c r="A16" s="3" t="s">
        <v>50</v>
      </c>
      <c r="B16" s="3" t="s">
        <v>9</v>
      </c>
      <c r="C16" s="3">
        <v>102</v>
      </c>
      <c r="D16" s="3">
        <v>5</v>
      </c>
      <c r="E16" s="3">
        <v>0.39</v>
      </c>
      <c r="F16" s="3" t="s">
        <v>1</v>
      </c>
      <c r="G16" s="3">
        <v>12.89</v>
      </c>
      <c r="H16" s="4">
        <v>4.4199999999999997E-5</v>
      </c>
      <c r="I16" s="4">
        <v>2.3900000000000001E-2</v>
      </c>
    </row>
    <row r="17" spans="1:9">
      <c r="A17" s="3" t="s">
        <v>50</v>
      </c>
      <c r="B17" s="3" t="s">
        <v>28</v>
      </c>
      <c r="C17" s="3">
        <v>1150</v>
      </c>
      <c r="D17" s="3">
        <v>15</v>
      </c>
      <c r="E17" s="3">
        <v>4.37</v>
      </c>
      <c r="F17" s="3" t="s">
        <v>1</v>
      </c>
      <c r="G17" s="3">
        <v>3.43</v>
      </c>
      <c r="H17" s="4">
        <v>2.65E-5</v>
      </c>
      <c r="I17" s="4">
        <v>1.61E-2</v>
      </c>
    </row>
    <row r="18" spans="1:9">
      <c r="A18" s="3" t="s">
        <v>50</v>
      </c>
      <c r="B18" s="3" t="s">
        <v>34</v>
      </c>
      <c r="C18" s="3">
        <v>1434</v>
      </c>
      <c r="D18" s="3">
        <v>17</v>
      </c>
      <c r="E18" s="3">
        <v>5.46</v>
      </c>
      <c r="F18" s="3" t="s">
        <v>1</v>
      </c>
      <c r="G18" s="3">
        <v>3.12</v>
      </c>
      <c r="H18" s="4">
        <v>2.44E-5</v>
      </c>
      <c r="I18" s="4">
        <v>1.54E-2</v>
      </c>
    </row>
    <row r="19" spans="1:9">
      <c r="A19" s="3" t="s">
        <v>50</v>
      </c>
      <c r="B19" s="3" t="s">
        <v>13</v>
      </c>
      <c r="C19" s="3">
        <v>140</v>
      </c>
      <c r="D19" s="3">
        <v>6</v>
      </c>
      <c r="E19" s="3">
        <v>0.53</v>
      </c>
      <c r="F19" s="3" t="s">
        <v>1</v>
      </c>
      <c r="G19" s="3">
        <v>11.27</v>
      </c>
      <c r="H19" s="4">
        <v>1.59E-5</v>
      </c>
      <c r="I19" s="4">
        <v>1.0500000000000001E-2</v>
      </c>
    </row>
    <row r="20" spans="1:9">
      <c r="A20" s="3" t="s">
        <v>50</v>
      </c>
      <c r="B20" s="3" t="s">
        <v>37</v>
      </c>
      <c r="C20" s="3">
        <v>3400</v>
      </c>
      <c r="D20" s="3">
        <v>29</v>
      </c>
      <c r="E20" s="3">
        <v>12.93</v>
      </c>
      <c r="F20" s="3" t="s">
        <v>1</v>
      </c>
      <c r="G20" s="3">
        <v>2.2400000000000002</v>
      </c>
      <c r="H20" s="4">
        <v>1.34E-5</v>
      </c>
      <c r="I20" s="4">
        <v>9.3100000000000006E-3</v>
      </c>
    </row>
    <row r="21" spans="1:9">
      <c r="A21" s="3" t="s">
        <v>50</v>
      </c>
      <c r="B21" s="3" t="s">
        <v>11</v>
      </c>
      <c r="C21" s="3">
        <v>132</v>
      </c>
      <c r="D21" s="3">
        <v>6</v>
      </c>
      <c r="E21" s="3">
        <v>0.5</v>
      </c>
      <c r="F21" s="3" t="s">
        <v>1</v>
      </c>
      <c r="G21" s="3">
        <v>11.95</v>
      </c>
      <c r="H21" s="4">
        <v>1.1399999999999999E-5</v>
      </c>
      <c r="I21" s="4">
        <v>8.2699999999999996E-3</v>
      </c>
    </row>
    <row r="22" spans="1:9">
      <c r="A22" s="3" t="s">
        <v>50</v>
      </c>
      <c r="B22" s="3" t="s">
        <v>10</v>
      </c>
      <c r="C22" s="3">
        <v>129</v>
      </c>
      <c r="D22" s="3">
        <v>6</v>
      </c>
      <c r="E22" s="3">
        <v>0.49</v>
      </c>
      <c r="F22" s="3" t="s">
        <v>1</v>
      </c>
      <c r="G22" s="3">
        <v>12.23</v>
      </c>
      <c r="H22" s="4">
        <v>9.9599999999999995E-6</v>
      </c>
      <c r="I22" s="4">
        <v>7.6299999999999996E-3</v>
      </c>
    </row>
    <row r="23" spans="1:9">
      <c r="A23" s="3" t="s">
        <v>50</v>
      </c>
      <c r="B23" s="3" t="s">
        <v>7</v>
      </c>
      <c r="C23" s="3">
        <v>70</v>
      </c>
      <c r="D23" s="3">
        <v>5</v>
      </c>
      <c r="E23" s="3">
        <v>0.27</v>
      </c>
      <c r="F23" s="3" t="s">
        <v>1</v>
      </c>
      <c r="G23" s="3">
        <v>18.78</v>
      </c>
      <c r="H23" s="4">
        <v>7.0700000000000001E-6</v>
      </c>
      <c r="I23" s="4">
        <v>5.7200000000000003E-3</v>
      </c>
    </row>
    <row r="24" spans="1:9">
      <c r="A24" s="3" t="s">
        <v>50</v>
      </c>
      <c r="B24" s="3" t="s">
        <v>18</v>
      </c>
      <c r="C24" s="3">
        <v>537</v>
      </c>
      <c r="D24" s="3">
        <v>11</v>
      </c>
      <c r="E24" s="3">
        <v>2.04</v>
      </c>
      <c r="F24" s="3" t="s">
        <v>1</v>
      </c>
      <c r="G24" s="3">
        <v>5.38</v>
      </c>
      <c r="H24" s="4">
        <v>6.0399999999999998E-6</v>
      </c>
      <c r="I24" s="4">
        <v>5.1799999999999997E-3</v>
      </c>
    </row>
    <row r="25" spans="1:9">
      <c r="A25" s="3" t="s">
        <v>50</v>
      </c>
      <c r="B25" s="3" t="s">
        <v>30</v>
      </c>
      <c r="C25" s="3">
        <v>1405</v>
      </c>
      <c r="D25" s="3">
        <v>18</v>
      </c>
      <c r="E25" s="3">
        <v>5.34</v>
      </c>
      <c r="F25" s="3" t="s">
        <v>1</v>
      </c>
      <c r="G25" s="3">
        <v>3.37</v>
      </c>
      <c r="H25" s="4">
        <v>4.6299999999999997E-6</v>
      </c>
      <c r="I25" s="4">
        <v>4.4999999999999997E-3</v>
      </c>
    </row>
    <row r="26" spans="1:9">
      <c r="A26" s="3" t="s">
        <v>50</v>
      </c>
      <c r="B26" s="3" t="s">
        <v>20</v>
      </c>
      <c r="C26" s="3">
        <v>631</v>
      </c>
      <c r="D26" s="3">
        <v>12</v>
      </c>
      <c r="E26" s="3">
        <v>2.4</v>
      </c>
      <c r="F26" s="3" t="s">
        <v>1</v>
      </c>
      <c r="G26" s="3">
        <v>5</v>
      </c>
      <c r="H26" s="4">
        <v>4.7099999999999998E-6</v>
      </c>
      <c r="I26" s="4">
        <v>4.2900000000000004E-3</v>
      </c>
    </row>
    <row r="27" spans="1:9">
      <c r="A27" s="3" t="s">
        <v>50</v>
      </c>
      <c r="B27" s="3" t="s">
        <v>26</v>
      </c>
      <c r="C27" s="3">
        <v>1365</v>
      </c>
      <c r="D27" s="3">
        <v>18</v>
      </c>
      <c r="E27" s="3">
        <v>5.19</v>
      </c>
      <c r="F27" s="3" t="s">
        <v>1</v>
      </c>
      <c r="G27" s="3">
        <v>3.47</v>
      </c>
      <c r="H27" s="4">
        <v>3.0900000000000001E-6</v>
      </c>
      <c r="I27" s="4">
        <v>3.7599999999999999E-3</v>
      </c>
    </row>
    <row r="28" spans="1:9">
      <c r="A28" s="3" t="s">
        <v>50</v>
      </c>
      <c r="B28" s="3" t="s">
        <v>22</v>
      </c>
      <c r="C28" s="3">
        <v>828</v>
      </c>
      <c r="D28" s="3">
        <v>14</v>
      </c>
      <c r="E28" s="3">
        <v>3.15</v>
      </c>
      <c r="F28" s="3" t="s">
        <v>1</v>
      </c>
      <c r="G28" s="3">
        <v>4.4400000000000004</v>
      </c>
      <c r="H28" s="4">
        <v>2.7700000000000002E-6</v>
      </c>
      <c r="I28" s="4">
        <v>3.6700000000000001E-3</v>
      </c>
    </row>
    <row r="29" spans="1:9">
      <c r="A29" s="3" t="s">
        <v>50</v>
      </c>
      <c r="B29" s="3" t="s">
        <v>27</v>
      </c>
      <c r="C29" s="3">
        <v>1369</v>
      </c>
      <c r="D29" s="3">
        <v>18</v>
      </c>
      <c r="E29" s="3">
        <v>5.21</v>
      </c>
      <c r="F29" s="3" t="s">
        <v>1</v>
      </c>
      <c r="G29" s="3">
        <v>3.46</v>
      </c>
      <c r="H29" s="4">
        <v>3.2200000000000001E-6</v>
      </c>
      <c r="I29" s="4">
        <v>3.6099999999999999E-3</v>
      </c>
    </row>
    <row r="30" spans="1:9">
      <c r="A30" s="3" t="s">
        <v>50</v>
      </c>
      <c r="B30" s="3" t="s">
        <v>24</v>
      </c>
      <c r="C30" s="3">
        <v>1195</v>
      </c>
      <c r="D30" s="3">
        <v>17</v>
      </c>
      <c r="E30" s="3">
        <v>4.55</v>
      </c>
      <c r="F30" s="3" t="s">
        <v>1</v>
      </c>
      <c r="G30" s="3">
        <v>3.74</v>
      </c>
      <c r="H30" s="4">
        <v>2.21E-6</v>
      </c>
      <c r="I30" s="4">
        <v>3.5799999999999998E-3</v>
      </c>
    </row>
    <row r="31" spans="1:9">
      <c r="A31" s="3" t="s">
        <v>50</v>
      </c>
      <c r="B31" s="3" t="s">
        <v>19</v>
      </c>
      <c r="C31" s="3">
        <v>611</v>
      </c>
      <c r="D31" s="3">
        <v>12</v>
      </c>
      <c r="E31" s="3">
        <v>2.3199999999999998</v>
      </c>
      <c r="F31" s="3" t="s">
        <v>1</v>
      </c>
      <c r="G31" s="3">
        <v>5.16</v>
      </c>
      <c r="H31" s="4">
        <v>3.3900000000000002E-6</v>
      </c>
      <c r="I31" s="4">
        <v>3.5300000000000002E-3</v>
      </c>
    </row>
    <row r="32" spans="1:9">
      <c r="A32" s="3" t="s">
        <v>50</v>
      </c>
      <c r="B32" s="3" t="s">
        <v>29</v>
      </c>
      <c r="C32" s="3">
        <v>1480</v>
      </c>
      <c r="D32" s="3">
        <v>19</v>
      </c>
      <c r="E32" s="3">
        <v>5.63</v>
      </c>
      <c r="F32" s="3" t="s">
        <v>1</v>
      </c>
      <c r="G32" s="3">
        <v>3.37</v>
      </c>
      <c r="H32" s="4">
        <v>2.3199999999999998E-6</v>
      </c>
      <c r="I32" s="4">
        <v>3.3700000000000002E-3</v>
      </c>
    </row>
    <row r="33" spans="1:9">
      <c r="A33" s="3" t="s">
        <v>50</v>
      </c>
      <c r="B33" s="3" t="s">
        <v>5</v>
      </c>
      <c r="C33" s="3">
        <v>20</v>
      </c>
      <c r="D33" s="3">
        <v>4</v>
      </c>
      <c r="E33" s="3">
        <v>0.08</v>
      </c>
      <c r="F33" s="3" t="s">
        <v>1</v>
      </c>
      <c r="G33" s="3">
        <v>52.57</v>
      </c>
      <c r="H33" s="4">
        <v>9.0299999999999997E-7</v>
      </c>
      <c r="I33" s="4">
        <v>1.65E-3</v>
      </c>
    </row>
    <row r="34" spans="1:9">
      <c r="A34" s="3" t="s">
        <v>50</v>
      </c>
      <c r="B34" s="3" t="s">
        <v>16</v>
      </c>
      <c r="C34" s="3">
        <v>414</v>
      </c>
      <c r="D34" s="3">
        <v>11</v>
      </c>
      <c r="E34" s="3">
        <v>1.57</v>
      </c>
      <c r="F34" s="3" t="s">
        <v>1</v>
      </c>
      <c r="G34" s="3">
        <v>6.98</v>
      </c>
      <c r="H34" s="4">
        <v>4.89E-7</v>
      </c>
      <c r="I34" s="4">
        <v>1.1900000000000001E-3</v>
      </c>
    </row>
    <row r="35" spans="1:9">
      <c r="A35" s="3" t="s">
        <v>50</v>
      </c>
      <c r="B35" s="3" t="s">
        <v>23</v>
      </c>
      <c r="C35" s="3">
        <v>1209</v>
      </c>
      <c r="D35" s="3">
        <v>18</v>
      </c>
      <c r="E35" s="3">
        <v>4.5999999999999996</v>
      </c>
      <c r="F35" s="3" t="s">
        <v>1</v>
      </c>
      <c r="G35" s="3">
        <v>3.91</v>
      </c>
      <c r="H35" s="4">
        <v>5.4700000000000001E-7</v>
      </c>
      <c r="I35" s="4">
        <v>1.14E-3</v>
      </c>
    </row>
    <row r="36" spans="1:9">
      <c r="A36" s="3" t="s">
        <v>50</v>
      </c>
      <c r="B36" s="3" t="s">
        <v>32</v>
      </c>
      <c r="C36" s="3">
        <v>1946</v>
      </c>
      <c r="D36" s="3">
        <v>24</v>
      </c>
      <c r="E36" s="3">
        <v>7.4</v>
      </c>
      <c r="F36" s="3" t="s">
        <v>1</v>
      </c>
      <c r="G36" s="3">
        <v>3.24</v>
      </c>
      <c r="H36" s="4">
        <v>1.5800000000000001E-7</v>
      </c>
      <c r="I36" s="4">
        <v>5.7600000000000001E-4</v>
      </c>
    </row>
    <row r="37" spans="1:9">
      <c r="A37" s="3" t="s">
        <v>50</v>
      </c>
      <c r="B37" s="3" t="s">
        <v>4</v>
      </c>
      <c r="C37" s="3">
        <v>14</v>
      </c>
      <c r="D37" s="3">
        <v>4</v>
      </c>
      <c r="E37" s="3">
        <v>0.05</v>
      </c>
      <c r="F37" s="3" t="s">
        <v>1</v>
      </c>
      <c r="G37" s="3">
        <v>75.11</v>
      </c>
      <c r="H37" s="4">
        <v>1.9000000000000001E-7</v>
      </c>
      <c r="I37" s="4">
        <v>5.53E-4</v>
      </c>
    </row>
    <row r="38" spans="1:9">
      <c r="A38" s="3" t="s">
        <v>50</v>
      </c>
      <c r="B38" s="3" t="s">
        <v>12</v>
      </c>
      <c r="C38" s="3">
        <v>199</v>
      </c>
      <c r="D38" s="3">
        <v>9</v>
      </c>
      <c r="E38" s="3">
        <v>0.76</v>
      </c>
      <c r="F38" s="3" t="s">
        <v>1</v>
      </c>
      <c r="G38" s="3">
        <v>11.89</v>
      </c>
      <c r="H38" s="4">
        <v>6.8099999999999994E-8</v>
      </c>
      <c r="I38" s="4">
        <v>3.3100000000000002E-4</v>
      </c>
    </row>
    <row r="39" spans="1:9">
      <c r="A39" s="3" t="s">
        <v>50</v>
      </c>
      <c r="B39" s="3" t="s">
        <v>31</v>
      </c>
      <c r="C39" s="3">
        <v>1956</v>
      </c>
      <c r="D39" s="3">
        <v>25</v>
      </c>
      <c r="E39" s="3">
        <v>7.44</v>
      </c>
      <c r="F39" s="3" t="s">
        <v>1</v>
      </c>
      <c r="G39" s="3">
        <v>3.36</v>
      </c>
      <c r="H39" s="4">
        <v>4.0000000000000001E-8</v>
      </c>
      <c r="I39" s="4">
        <v>2.9100000000000003E-4</v>
      </c>
    </row>
    <row r="40" spans="1:9">
      <c r="A40" s="3" t="s">
        <v>50</v>
      </c>
      <c r="B40" s="3" t="s">
        <v>6</v>
      </c>
      <c r="C40" s="3">
        <v>39</v>
      </c>
      <c r="D40" s="3">
        <v>6</v>
      </c>
      <c r="E40" s="3">
        <v>0.15</v>
      </c>
      <c r="F40" s="3" t="s">
        <v>1</v>
      </c>
      <c r="G40" s="3">
        <v>40.44</v>
      </c>
      <c r="H40" s="4">
        <v>7.4999999999999993E-9</v>
      </c>
      <c r="I40" s="4">
        <v>1.0900000000000001E-4</v>
      </c>
    </row>
  </sheetData>
  <autoFilter ref="A1:I40" xr:uid="{A69F1976-1A18-DE44-8CFC-F0FCF6051BD2}">
    <sortState xmlns:xlrd2="http://schemas.microsoft.com/office/spreadsheetml/2017/richdata2" ref="A2:I40">
      <sortCondition descending="1" ref="I1:I4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22FC-2D9A-5344-8757-78D4ADA71194}">
  <dimension ref="A1:I16"/>
  <sheetViews>
    <sheetView zoomScale="134" workbookViewId="0">
      <selection sqref="A1:XFD1"/>
    </sheetView>
  </sheetViews>
  <sheetFormatPr baseColWidth="10" defaultRowHeight="16"/>
  <cols>
    <col min="2" max="2" width="41.6640625" bestFit="1" customWidth="1"/>
  </cols>
  <sheetData>
    <row r="1" spans="1:9" s="7" customFormat="1">
      <c r="A1" s="10" t="s">
        <v>42</v>
      </c>
      <c r="B1" s="10" t="s">
        <v>43</v>
      </c>
      <c r="C1" s="10" t="s">
        <v>62</v>
      </c>
      <c r="D1" s="10" t="s">
        <v>44</v>
      </c>
      <c r="E1" s="10" t="s">
        <v>45</v>
      </c>
      <c r="F1" s="10" t="s">
        <v>46</v>
      </c>
      <c r="G1" s="10" t="s">
        <v>47</v>
      </c>
      <c r="H1" s="10" t="s">
        <v>48</v>
      </c>
      <c r="I1" s="10" t="s">
        <v>49</v>
      </c>
    </row>
    <row r="2" spans="1:9">
      <c r="A2" s="8" t="s">
        <v>55</v>
      </c>
      <c r="B2" s="8" t="s">
        <v>70</v>
      </c>
      <c r="C2" s="8">
        <v>10</v>
      </c>
      <c r="D2" s="8">
        <v>3</v>
      </c>
      <c r="E2" s="8">
        <v>0.04</v>
      </c>
      <c r="F2" s="8">
        <v>78.86</v>
      </c>
      <c r="G2" s="9">
        <v>6.2600000000000002E-6</v>
      </c>
      <c r="H2" s="9">
        <v>5.3499999999999997E-3</v>
      </c>
      <c r="I2" s="8">
        <f>-LOG10(H2)</f>
        <v>2.2716462179787715</v>
      </c>
    </row>
    <row r="3" spans="1:9">
      <c r="A3" s="8" t="s">
        <v>55</v>
      </c>
      <c r="B3" s="8" t="s">
        <v>60</v>
      </c>
      <c r="C3" s="8">
        <v>600</v>
      </c>
      <c r="D3" s="8">
        <v>12</v>
      </c>
      <c r="E3" s="8">
        <v>2.2799999999999998</v>
      </c>
      <c r="F3" s="8">
        <v>5.26</v>
      </c>
      <c r="G3" s="9">
        <v>2.8100000000000002E-6</v>
      </c>
      <c r="H3" s="9">
        <v>2.8900000000000002E-3</v>
      </c>
      <c r="I3" s="8">
        <f t="shared" ref="I3:I16" si="0">-LOG10(H3)</f>
        <v>2.5391021572434522</v>
      </c>
    </row>
    <row r="4" spans="1:9">
      <c r="A4" s="8" t="s">
        <v>55</v>
      </c>
      <c r="B4" s="8" t="s">
        <v>57</v>
      </c>
      <c r="C4" s="8">
        <v>185</v>
      </c>
      <c r="D4" s="8">
        <v>8</v>
      </c>
      <c r="E4" s="8">
        <v>0.7</v>
      </c>
      <c r="F4" s="8">
        <v>11.37</v>
      </c>
      <c r="G4" s="9">
        <v>5.3399999999999999E-7</v>
      </c>
      <c r="H4" s="9">
        <v>2.7399999999999998E-3</v>
      </c>
      <c r="I4" s="8">
        <f t="shared" si="0"/>
        <v>2.5622494371796121</v>
      </c>
    </row>
    <row r="5" spans="1:9">
      <c r="A5" s="8" t="s">
        <v>55</v>
      </c>
      <c r="B5" s="8" t="s">
        <v>56</v>
      </c>
      <c r="C5" s="8">
        <v>20</v>
      </c>
      <c r="D5" s="8">
        <v>3</v>
      </c>
      <c r="E5" s="8">
        <v>0.08</v>
      </c>
      <c r="F5" s="8">
        <v>39.43</v>
      </c>
      <c r="G5" s="9">
        <v>5.7800000000000002E-5</v>
      </c>
      <c r="H5" s="9">
        <v>2.2800000000000001E-2</v>
      </c>
      <c r="I5" s="8">
        <f t="shared" si="0"/>
        <v>1.6420651529995463</v>
      </c>
    </row>
    <row r="6" spans="1:9">
      <c r="A6" s="8" t="s">
        <v>55</v>
      </c>
      <c r="B6" s="8" t="s">
        <v>58</v>
      </c>
      <c r="C6" s="8">
        <v>201</v>
      </c>
      <c r="D6" s="8">
        <v>8</v>
      </c>
      <c r="E6" s="8">
        <v>0.76</v>
      </c>
      <c r="F6" s="8">
        <v>10.46</v>
      </c>
      <c r="G6" s="9">
        <v>9.9900000000000009E-7</v>
      </c>
      <c r="H6" s="9">
        <v>1.7099999999999999E-3</v>
      </c>
      <c r="I6" s="8">
        <f t="shared" si="0"/>
        <v>2.7670038896078464</v>
      </c>
    </row>
    <row r="7" spans="1:9">
      <c r="A7" s="8" t="s">
        <v>55</v>
      </c>
      <c r="B7" s="8" t="s">
        <v>59</v>
      </c>
      <c r="C7" s="8">
        <v>208</v>
      </c>
      <c r="D7" s="8">
        <v>8</v>
      </c>
      <c r="E7" s="8">
        <v>0.79</v>
      </c>
      <c r="F7" s="8">
        <v>10.11</v>
      </c>
      <c r="G7" s="9">
        <v>1.2899999999999999E-6</v>
      </c>
      <c r="H7" s="9">
        <v>1.66E-3</v>
      </c>
      <c r="I7" s="8">
        <f t="shared" si="0"/>
        <v>2.779891911959945</v>
      </c>
    </row>
    <row r="8" spans="1:9">
      <c r="A8" s="8" t="s">
        <v>55</v>
      </c>
      <c r="B8" s="8" t="s">
        <v>61</v>
      </c>
      <c r="C8" s="8">
        <v>7167</v>
      </c>
      <c r="D8" s="8">
        <v>50</v>
      </c>
      <c r="E8" s="8">
        <v>27.26</v>
      </c>
      <c r="F8" s="8">
        <v>1.83</v>
      </c>
      <c r="G8" s="9">
        <v>5.8500000000000001E-7</v>
      </c>
      <c r="H8" s="9">
        <v>1.5E-3</v>
      </c>
      <c r="I8" s="8">
        <f t="shared" si="0"/>
        <v>2.8239087409443187</v>
      </c>
    </row>
    <row r="9" spans="1:9">
      <c r="A9" s="8" t="s">
        <v>55</v>
      </c>
      <c r="B9" s="8" t="s">
        <v>67</v>
      </c>
      <c r="C9" s="8">
        <v>16</v>
      </c>
      <c r="D9" s="8">
        <v>3</v>
      </c>
      <c r="E9" s="8">
        <v>0.06</v>
      </c>
      <c r="F9" s="8">
        <v>49.29</v>
      </c>
      <c r="G9" s="9">
        <v>2.87E-5</v>
      </c>
      <c r="H9" s="9">
        <v>1.47E-2</v>
      </c>
      <c r="I9" s="8">
        <f t="shared" si="0"/>
        <v>1.832682665251824</v>
      </c>
    </row>
    <row r="10" spans="1:9">
      <c r="A10" s="8" t="s">
        <v>55</v>
      </c>
      <c r="B10" s="8" t="s">
        <v>40</v>
      </c>
      <c r="C10" s="8">
        <v>6888</v>
      </c>
      <c r="D10" s="8">
        <v>9</v>
      </c>
      <c r="E10" s="8">
        <v>26.2</v>
      </c>
      <c r="F10" s="8">
        <v>0.34</v>
      </c>
      <c r="G10" s="9">
        <v>1.7499999999999998E-5</v>
      </c>
      <c r="H10" s="9">
        <v>9.9799999999999993E-3</v>
      </c>
      <c r="I10" s="8">
        <f t="shared" si="0"/>
        <v>2.000869458712629</v>
      </c>
    </row>
    <row r="11" spans="1:9">
      <c r="A11" s="8" t="s">
        <v>55</v>
      </c>
      <c r="B11" s="8" t="s">
        <v>63</v>
      </c>
      <c r="C11" s="8">
        <v>399</v>
      </c>
      <c r="D11" s="8">
        <v>8</v>
      </c>
      <c r="E11" s="8">
        <v>1.52</v>
      </c>
      <c r="F11" s="8">
        <v>5.27</v>
      </c>
      <c r="G11" s="9">
        <v>1.4100000000000001E-4</v>
      </c>
      <c r="H11" s="9">
        <v>5.1499999999999997E-2</v>
      </c>
      <c r="I11" s="8">
        <f t="shared" si="0"/>
        <v>1.288192770958809</v>
      </c>
    </row>
    <row r="12" spans="1:9">
      <c r="A12" s="8" t="s">
        <v>55</v>
      </c>
      <c r="B12" s="8" t="s">
        <v>64</v>
      </c>
      <c r="C12" s="8">
        <v>5</v>
      </c>
      <c r="D12" s="8">
        <v>2</v>
      </c>
      <c r="E12" s="8">
        <v>0.02</v>
      </c>
      <c r="F12" s="8" t="s">
        <v>2</v>
      </c>
      <c r="G12" s="9">
        <v>1.4200000000000001E-4</v>
      </c>
      <c r="H12" s="9">
        <v>4.8500000000000001E-2</v>
      </c>
      <c r="I12" s="8">
        <f t="shared" si="0"/>
        <v>1.3142582613977363</v>
      </c>
    </row>
    <row r="13" spans="1:9">
      <c r="A13" s="8" t="s">
        <v>55</v>
      </c>
      <c r="B13" s="8" t="s">
        <v>65</v>
      </c>
      <c r="C13" s="8">
        <v>1372</v>
      </c>
      <c r="D13" s="8">
        <v>16</v>
      </c>
      <c r="E13" s="8">
        <v>5.22</v>
      </c>
      <c r="F13" s="8">
        <v>3.07</v>
      </c>
      <c r="G13" s="9">
        <v>5.3399999999999997E-5</v>
      </c>
      <c r="H13" s="9">
        <v>2.2800000000000001E-2</v>
      </c>
      <c r="I13" s="8">
        <f t="shared" si="0"/>
        <v>1.6420651529995463</v>
      </c>
    </row>
    <row r="14" spans="1:9">
      <c r="A14" s="8" t="s">
        <v>55</v>
      </c>
      <c r="B14" s="8" t="s">
        <v>66</v>
      </c>
      <c r="C14" s="8">
        <v>11457</v>
      </c>
      <c r="D14" s="8">
        <v>63</v>
      </c>
      <c r="E14" s="8">
        <v>43.58</v>
      </c>
      <c r="F14" s="8">
        <v>1.45</v>
      </c>
      <c r="G14" s="9">
        <v>3.3800000000000002E-5</v>
      </c>
      <c r="H14" s="9">
        <v>1.5699999999999999E-2</v>
      </c>
      <c r="I14" s="8">
        <f t="shared" si="0"/>
        <v>1.8041003475907662</v>
      </c>
    </row>
    <row r="15" spans="1:9">
      <c r="A15" s="8" t="s">
        <v>55</v>
      </c>
      <c r="B15" s="8" t="s">
        <v>68</v>
      </c>
      <c r="C15" s="8">
        <v>15982</v>
      </c>
      <c r="D15" s="8">
        <v>78</v>
      </c>
      <c r="E15" s="8">
        <v>60.8</v>
      </c>
      <c r="F15" s="8">
        <v>1.28</v>
      </c>
      <c r="G15" s="9">
        <v>1.7499999999999998E-5</v>
      </c>
      <c r="H15" s="9">
        <v>1.12E-2</v>
      </c>
      <c r="I15" s="8">
        <f t="shared" si="0"/>
        <v>1.9507819773298183</v>
      </c>
    </row>
    <row r="16" spans="1:9">
      <c r="A16" s="8" t="s">
        <v>55</v>
      </c>
      <c r="B16" s="8" t="s">
        <v>69</v>
      </c>
      <c r="C16" s="8">
        <v>137</v>
      </c>
      <c r="D16" s="8">
        <v>6</v>
      </c>
      <c r="E16" s="8">
        <v>0.52</v>
      </c>
      <c r="F16" s="8">
        <v>11.51</v>
      </c>
      <c r="G16" s="9">
        <v>1.4E-5</v>
      </c>
      <c r="H16" s="9">
        <v>1.03E-2</v>
      </c>
      <c r="I16" s="8">
        <f t="shared" si="0"/>
        <v>1.9871627752948278</v>
      </c>
    </row>
  </sheetData>
  <autoFilter ref="B1:H16" xr:uid="{9AC622FC-2D9A-5344-8757-78D4ADA71194}">
    <sortState xmlns:xlrd2="http://schemas.microsoft.com/office/spreadsheetml/2017/richdata2" ref="B2:H16">
      <sortCondition sortBy="cellColor" ref="B1:B16" dxfId="6"/>
    </sortState>
  </autoFilter>
  <conditionalFormatting sqref="B1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0863-7D4B-B840-8A14-F7C3C340FE76}">
  <dimension ref="A1:J29"/>
  <sheetViews>
    <sheetView zoomScale="150" workbookViewId="0">
      <selection activeCell="B4" sqref="B4"/>
    </sheetView>
  </sheetViews>
  <sheetFormatPr baseColWidth="10" defaultRowHeight="16"/>
  <cols>
    <col min="2" max="2" width="25.83203125" customWidth="1"/>
  </cols>
  <sheetData>
    <row r="1" spans="1:9" s="7" customFormat="1">
      <c r="A1" s="10" t="s">
        <v>42</v>
      </c>
      <c r="B1" s="10" t="s">
        <v>43</v>
      </c>
      <c r="C1" s="10" t="s">
        <v>62</v>
      </c>
      <c r="D1" s="10" t="s">
        <v>44</v>
      </c>
      <c r="E1" s="10" t="s">
        <v>45</v>
      </c>
      <c r="F1" s="10" t="s">
        <v>46</v>
      </c>
      <c r="G1" s="10" t="s">
        <v>47</v>
      </c>
      <c r="H1" s="10" t="s">
        <v>48</v>
      </c>
      <c r="I1" s="10" t="s">
        <v>49</v>
      </c>
    </row>
    <row r="2" spans="1:9">
      <c r="A2" s="8" t="s">
        <v>51</v>
      </c>
      <c r="B2" s="8" t="s">
        <v>54</v>
      </c>
      <c r="C2" s="8">
        <v>2169</v>
      </c>
      <c r="D2" s="8">
        <v>38</v>
      </c>
      <c r="E2" s="8">
        <v>8.25</v>
      </c>
      <c r="F2" s="8">
        <v>4.6100000000000003</v>
      </c>
      <c r="G2" s="9">
        <v>6.1800000000000001E-17</v>
      </c>
      <c r="H2" s="9">
        <v>1.25E-13</v>
      </c>
      <c r="I2" s="8">
        <f t="shared" ref="I2:I6" si="0">-LOG10(H2)</f>
        <v>12.903089986991944</v>
      </c>
    </row>
    <row r="3" spans="1:9">
      <c r="A3" s="8" t="s">
        <v>51</v>
      </c>
      <c r="B3" s="8" t="s">
        <v>72</v>
      </c>
      <c r="C3" s="8">
        <v>18111</v>
      </c>
      <c r="D3" s="8">
        <v>86</v>
      </c>
      <c r="E3" s="8">
        <v>68.900000000000006</v>
      </c>
      <c r="F3" s="8">
        <v>1.25</v>
      </c>
      <c r="G3" s="9">
        <v>7.1499999999999998E-8</v>
      </c>
      <c r="H3" s="9">
        <v>3.6199999999999999E-5</v>
      </c>
      <c r="I3" s="8">
        <f t="shared" si="0"/>
        <v>4.4412914294668342</v>
      </c>
    </row>
    <row r="4" spans="1:9">
      <c r="A4" s="8" t="s">
        <v>51</v>
      </c>
      <c r="B4" s="8" t="s">
        <v>52</v>
      </c>
      <c r="C4" s="8">
        <v>7</v>
      </c>
      <c r="D4" s="8">
        <v>3</v>
      </c>
      <c r="E4" s="8">
        <v>0.03</v>
      </c>
      <c r="F4" s="8">
        <v>100</v>
      </c>
      <c r="G4" s="9">
        <v>1.84E-6</v>
      </c>
      <c r="H4" s="9">
        <v>7.45E-4</v>
      </c>
      <c r="I4" s="8">
        <f t="shared" si="0"/>
        <v>3.1278437272517072</v>
      </c>
    </row>
    <row r="5" spans="1:9">
      <c r="A5" s="8" t="s">
        <v>51</v>
      </c>
      <c r="B5" s="8" t="s">
        <v>71</v>
      </c>
      <c r="C5" s="8">
        <v>107</v>
      </c>
      <c r="D5" s="8">
        <v>5</v>
      </c>
      <c r="E5" s="8">
        <v>0.41</v>
      </c>
      <c r="F5" s="8">
        <v>12.28</v>
      </c>
      <c r="G5" s="9">
        <v>5.5600000000000003E-5</v>
      </c>
      <c r="H5" s="9">
        <v>1.8800000000000001E-2</v>
      </c>
      <c r="I5" s="8">
        <f t="shared" si="0"/>
        <v>1.7258421507363202</v>
      </c>
    </row>
    <row r="6" spans="1:9">
      <c r="A6" s="8" t="s">
        <v>51</v>
      </c>
      <c r="B6" s="8" t="s">
        <v>53</v>
      </c>
      <c r="C6" s="8">
        <v>286</v>
      </c>
      <c r="D6" s="8">
        <v>7</v>
      </c>
      <c r="E6" s="8">
        <v>1.0900000000000001</v>
      </c>
      <c r="F6" s="8">
        <v>6.43</v>
      </c>
      <c r="G6" s="9">
        <v>1.11E-4</v>
      </c>
      <c r="H6" s="9">
        <v>3.2000000000000001E-2</v>
      </c>
      <c r="I6" s="8">
        <f t="shared" si="0"/>
        <v>1.494850021680094</v>
      </c>
    </row>
    <row r="8" spans="1:9" ht="27">
      <c r="A8" s="1"/>
      <c r="B8" s="1"/>
      <c r="C8" s="1"/>
      <c r="D8" s="1"/>
      <c r="E8" s="1"/>
      <c r="F8" s="1"/>
    </row>
    <row r="11" spans="1:9">
      <c r="G11" s="2"/>
      <c r="H11" s="2"/>
    </row>
    <row r="12" spans="1:9">
      <c r="G12" s="2"/>
      <c r="H12" s="2"/>
    </row>
    <row r="13" spans="1:9">
      <c r="G13" s="2"/>
      <c r="H13" s="2"/>
    </row>
    <row r="14" spans="1:9">
      <c r="G14" s="2"/>
      <c r="H14" s="2"/>
    </row>
    <row r="15" spans="1:9">
      <c r="G15" s="2"/>
      <c r="H15" s="2"/>
    </row>
    <row r="19" spans="7:10">
      <c r="G19" s="2"/>
      <c r="H19" s="2"/>
    </row>
    <row r="23" spans="7:10">
      <c r="I23" s="2"/>
      <c r="J23" s="2"/>
    </row>
    <row r="24" spans="7:10">
      <c r="I24" s="2"/>
      <c r="J24" s="2"/>
    </row>
    <row r="25" spans="7:10">
      <c r="I25" s="2"/>
      <c r="J25" s="2"/>
    </row>
    <row r="26" spans="7:10">
      <c r="I26" s="2"/>
      <c r="J26" s="2"/>
    </row>
    <row r="27" spans="7:10">
      <c r="I27" s="2"/>
      <c r="J27" s="2"/>
    </row>
    <row r="28" spans="7:10">
      <c r="I28" s="2"/>
      <c r="J28" s="2"/>
    </row>
    <row r="29" spans="7:10">
      <c r="I29" s="2"/>
      <c r="J29" s="2"/>
    </row>
  </sheetData>
  <autoFilter ref="A1:H7" xr:uid="{3CD90863-7D4B-B840-8A14-F7C3C340FE76}">
    <sortState xmlns:xlrd2="http://schemas.microsoft.com/office/spreadsheetml/2017/richdata2" ref="A2:H7">
      <sortCondition ref="H1:H7"/>
    </sortState>
  </autoFilter>
  <conditionalFormatting sqref="B1">
    <cfRule type="duplicateValues" dxfId="3" priority="1"/>
  </conditionalFormatting>
  <conditionalFormatting sqref="B11:B15">
    <cfRule type="duplicateValues" dxfId="2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FDDC-901E-8A43-A6BC-140A60773639}">
  <dimension ref="A1:H10"/>
  <sheetViews>
    <sheetView zoomScale="258" workbookViewId="0">
      <selection activeCell="A5" sqref="A5"/>
    </sheetView>
  </sheetViews>
  <sheetFormatPr baseColWidth="10" defaultRowHeight="16"/>
  <cols>
    <col min="1" max="1" width="65" bestFit="1" customWidth="1"/>
  </cols>
  <sheetData>
    <row r="1" spans="1:8" s="7" customFormat="1">
      <c r="A1" s="10" t="s">
        <v>43</v>
      </c>
      <c r="B1" s="10" t="s">
        <v>62</v>
      </c>
      <c r="C1" s="10" t="s">
        <v>44</v>
      </c>
      <c r="D1" s="10" t="s">
        <v>45</v>
      </c>
      <c r="E1" s="10" t="s">
        <v>46</v>
      </c>
      <c r="F1" s="10" t="s">
        <v>47</v>
      </c>
      <c r="G1" s="10" t="s">
        <v>48</v>
      </c>
      <c r="H1" s="10" t="s">
        <v>49</v>
      </c>
    </row>
    <row r="2" spans="1:8">
      <c r="A2" s="8" t="s">
        <v>81</v>
      </c>
      <c r="B2" s="8">
        <v>245</v>
      </c>
      <c r="C2" s="8">
        <v>17</v>
      </c>
      <c r="D2" s="8">
        <v>1.27</v>
      </c>
      <c r="E2" s="8">
        <v>13.34</v>
      </c>
      <c r="F2" s="9">
        <v>1.1400000000000001E-14</v>
      </c>
      <c r="G2" s="9">
        <v>1.9599999999999999E-11</v>
      </c>
      <c r="H2" s="8">
        <f t="shared" ref="H2:H10" si="0">-LOG10(G2)</f>
        <v>10.707743928643524</v>
      </c>
    </row>
    <row r="3" spans="1:8">
      <c r="A3" s="8" t="s">
        <v>80</v>
      </c>
      <c r="B3" s="8">
        <v>72</v>
      </c>
      <c r="C3" s="8">
        <v>9</v>
      </c>
      <c r="D3" s="8">
        <v>0.37</v>
      </c>
      <c r="E3" s="8">
        <v>24.02</v>
      </c>
      <c r="F3" s="9">
        <v>1.3300000000000001E-10</v>
      </c>
      <c r="G3" s="9">
        <v>1.15E-7</v>
      </c>
      <c r="H3" s="8">
        <f t="shared" si="0"/>
        <v>6.9393021596463882</v>
      </c>
    </row>
    <row r="4" spans="1:8">
      <c r="A4" s="8" t="s">
        <v>79</v>
      </c>
      <c r="B4" s="8">
        <v>31</v>
      </c>
      <c r="C4" s="8">
        <v>6</v>
      </c>
      <c r="D4" s="8">
        <v>0.16</v>
      </c>
      <c r="E4" s="8">
        <v>37.200000000000003</v>
      </c>
      <c r="F4" s="9">
        <v>1.16E-8</v>
      </c>
      <c r="G4" s="9">
        <v>6.6499999999999999E-6</v>
      </c>
      <c r="H4" s="8">
        <f t="shared" si="0"/>
        <v>5.1771783546968955</v>
      </c>
    </row>
    <row r="5" spans="1:8">
      <c r="A5" s="8" t="s">
        <v>78</v>
      </c>
      <c r="B5" s="8">
        <v>36</v>
      </c>
      <c r="C5" s="8">
        <v>6</v>
      </c>
      <c r="D5" s="8">
        <v>0.19</v>
      </c>
      <c r="E5" s="8">
        <v>32.03</v>
      </c>
      <c r="F5" s="9">
        <v>2.9999999999999997E-8</v>
      </c>
      <c r="G5" s="9">
        <v>1.03E-5</v>
      </c>
      <c r="H5" s="8">
        <f t="shared" si="0"/>
        <v>4.987162775294828</v>
      </c>
    </row>
    <row r="6" spans="1:8">
      <c r="A6" s="8" t="s">
        <v>77</v>
      </c>
      <c r="B6" s="8">
        <v>40</v>
      </c>
      <c r="C6" s="8">
        <v>6</v>
      </c>
      <c r="D6" s="8">
        <v>0.21</v>
      </c>
      <c r="E6" s="8">
        <v>28.83</v>
      </c>
      <c r="F6" s="9">
        <v>5.8099999999999997E-8</v>
      </c>
      <c r="G6" s="9">
        <v>1.6699999999999999E-5</v>
      </c>
      <c r="H6" s="8">
        <f t="shared" si="0"/>
        <v>4.7772835288524167</v>
      </c>
    </row>
    <row r="7" spans="1:8">
      <c r="A7" s="8" t="s">
        <v>76</v>
      </c>
      <c r="B7" s="8">
        <v>44</v>
      </c>
      <c r="C7" s="8">
        <v>6</v>
      </c>
      <c r="D7" s="8">
        <v>0.23</v>
      </c>
      <c r="E7" s="8">
        <v>26.21</v>
      </c>
      <c r="F7" s="9">
        <v>1.05E-7</v>
      </c>
      <c r="G7" s="9">
        <v>2.58E-5</v>
      </c>
      <c r="H7" s="8">
        <f t="shared" si="0"/>
        <v>4.5883802940367699</v>
      </c>
    </row>
    <row r="8" spans="1:8">
      <c r="A8" s="8" t="s">
        <v>75</v>
      </c>
      <c r="B8" s="8">
        <v>18</v>
      </c>
      <c r="C8" s="8">
        <v>4</v>
      </c>
      <c r="D8" s="8">
        <v>0.09</v>
      </c>
      <c r="E8" s="8">
        <v>42.71</v>
      </c>
      <c r="F8" s="9">
        <v>2.0200000000000001E-6</v>
      </c>
      <c r="G8" s="9">
        <v>3.86E-4</v>
      </c>
      <c r="H8" s="8">
        <f t="shared" si="0"/>
        <v>3.4134126953282449</v>
      </c>
    </row>
    <row r="9" spans="1:8">
      <c r="A9" s="8" t="s">
        <v>74</v>
      </c>
      <c r="B9" s="8">
        <v>115</v>
      </c>
      <c r="C9" s="8">
        <v>7</v>
      </c>
      <c r="D9" s="8">
        <v>0.6</v>
      </c>
      <c r="E9" s="8">
        <v>11.7</v>
      </c>
      <c r="F9" s="9">
        <v>2.3800000000000001E-6</v>
      </c>
      <c r="G9" s="9">
        <v>4.0999999999999999E-4</v>
      </c>
      <c r="H9" s="8">
        <f t="shared" si="0"/>
        <v>3.3872161432802645</v>
      </c>
    </row>
    <row r="10" spans="1:8">
      <c r="A10" s="8" t="s">
        <v>73</v>
      </c>
      <c r="B10" s="8">
        <v>40</v>
      </c>
      <c r="C10" s="8">
        <v>5</v>
      </c>
      <c r="D10" s="8">
        <v>0.21</v>
      </c>
      <c r="E10" s="8">
        <v>24.02</v>
      </c>
      <c r="F10" s="9">
        <v>1.99E-6</v>
      </c>
      <c r="G10" s="9">
        <v>4.2900000000000002E-4</v>
      </c>
      <c r="H10" s="8">
        <f t="shared" si="0"/>
        <v>3.3675427078152755</v>
      </c>
    </row>
  </sheetData>
  <autoFilter ref="A1:H10" xr:uid="{6800FDDC-901E-8A43-A6BC-140A60773639}">
    <sortState xmlns:xlrd2="http://schemas.microsoft.com/office/spreadsheetml/2017/richdata2" ref="A2:H10">
      <sortCondition ref="G1:G10"/>
    </sortState>
  </autoFilter>
  <conditionalFormatting sqref="A1:A10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2799-AE19-8E49-A3AC-F62ACBD5A330}">
  <dimension ref="A1:I29"/>
  <sheetViews>
    <sheetView tabSelected="1" workbookViewId="0">
      <selection activeCell="B6" sqref="A1:I29"/>
    </sheetView>
  </sheetViews>
  <sheetFormatPr baseColWidth="10" defaultRowHeight="16"/>
  <cols>
    <col min="1" max="1" width="10.83203125" style="5"/>
    <col min="2" max="2" width="42.5" style="5" bestFit="1" customWidth="1"/>
    <col min="3" max="6" width="11" style="5" bestFit="1" customWidth="1"/>
    <col min="7" max="7" width="11.6640625" style="5" bestFit="1" customWidth="1"/>
    <col min="8" max="9" width="11" style="5" bestFit="1" customWidth="1"/>
    <col min="10" max="16384" width="10.83203125" style="5"/>
  </cols>
  <sheetData>
    <row r="1" spans="1:9" s="7" customFormat="1">
      <c r="A1" s="10" t="s">
        <v>42</v>
      </c>
      <c r="B1" s="10" t="s">
        <v>43</v>
      </c>
      <c r="C1" s="10" t="s">
        <v>62</v>
      </c>
      <c r="D1" s="10" t="s">
        <v>44</v>
      </c>
      <c r="E1" s="10" t="s">
        <v>45</v>
      </c>
      <c r="F1" s="10" t="s">
        <v>46</v>
      </c>
      <c r="G1" s="10" t="s">
        <v>47</v>
      </c>
      <c r="H1" s="10" t="s">
        <v>48</v>
      </c>
      <c r="I1" s="10" t="s">
        <v>49</v>
      </c>
    </row>
    <row r="2" spans="1:9">
      <c r="A2" s="8" t="s">
        <v>50</v>
      </c>
      <c r="B2" s="8" t="s">
        <v>82</v>
      </c>
      <c r="C2" s="8">
        <v>514</v>
      </c>
      <c r="D2" s="8">
        <v>21</v>
      </c>
      <c r="E2" s="8">
        <v>2.67</v>
      </c>
      <c r="F2" s="8">
        <v>7.85</v>
      </c>
      <c r="G2" s="8">
        <v>2.4400000000000002E-13</v>
      </c>
      <c r="H2" s="8">
        <v>5.9300000000000002E-10</v>
      </c>
      <c r="I2" s="8">
        <v>9.2269453066357379</v>
      </c>
    </row>
    <row r="3" spans="1:9">
      <c r="A3" s="8" t="s">
        <v>50</v>
      </c>
      <c r="B3" s="8" t="s">
        <v>83</v>
      </c>
      <c r="C3" s="8">
        <v>119</v>
      </c>
      <c r="D3" s="8">
        <v>13</v>
      </c>
      <c r="E3" s="8">
        <v>0.62</v>
      </c>
      <c r="F3" s="8">
        <v>20.99</v>
      </c>
      <c r="G3" s="8">
        <v>5.1500000000000001E-14</v>
      </c>
      <c r="H3" s="8">
        <v>1.88E-10</v>
      </c>
      <c r="I3" s="8">
        <v>9.7258421507363195</v>
      </c>
    </row>
    <row r="4" spans="1:9">
      <c r="A4" s="8" t="s">
        <v>50</v>
      </c>
      <c r="B4" s="8" t="s">
        <v>84</v>
      </c>
      <c r="C4" s="8">
        <v>63</v>
      </c>
      <c r="D4" s="8">
        <v>10</v>
      </c>
      <c r="E4" s="8">
        <v>0.33</v>
      </c>
      <c r="F4" s="8">
        <v>30.51</v>
      </c>
      <c r="G4" s="8">
        <v>9.9999999999999998E-13</v>
      </c>
      <c r="H4" s="8">
        <v>1.62E-9</v>
      </c>
      <c r="I4" s="8">
        <v>8.7904849854573683</v>
      </c>
    </row>
    <row r="5" spans="1:9">
      <c r="A5" s="8" t="s">
        <v>50</v>
      </c>
      <c r="B5" s="8" t="s">
        <v>85</v>
      </c>
      <c r="C5" s="8">
        <v>76</v>
      </c>
      <c r="D5" s="8">
        <v>10</v>
      </c>
      <c r="E5" s="8">
        <v>0.4</v>
      </c>
      <c r="F5" s="8">
        <v>25.29</v>
      </c>
      <c r="G5" s="8">
        <v>7.0799999999999997E-12</v>
      </c>
      <c r="H5" s="8">
        <v>9.3800000000000003E-9</v>
      </c>
      <c r="I5" s="8">
        <v>8.0277971616209349</v>
      </c>
    </row>
    <row r="6" spans="1:9">
      <c r="A6" s="8" t="s">
        <v>50</v>
      </c>
      <c r="B6" s="8" t="s">
        <v>86</v>
      </c>
      <c r="C6" s="8">
        <v>545</v>
      </c>
      <c r="D6" s="8">
        <v>18</v>
      </c>
      <c r="E6" s="8">
        <v>2.84</v>
      </c>
      <c r="F6" s="8">
        <v>6.35</v>
      </c>
      <c r="G6" s="8">
        <v>4.63E-10</v>
      </c>
      <c r="H6" s="8">
        <v>3.3799999999999998E-7</v>
      </c>
      <c r="I6" s="8">
        <v>6.4710832997223449</v>
      </c>
    </row>
    <row r="7" spans="1:9">
      <c r="A7" s="8" t="s">
        <v>50</v>
      </c>
      <c r="B7" s="8" t="s">
        <v>87</v>
      </c>
      <c r="C7" s="8">
        <v>279</v>
      </c>
      <c r="D7" s="8">
        <v>15</v>
      </c>
      <c r="E7" s="8">
        <v>1.45</v>
      </c>
      <c r="F7" s="8">
        <v>10.33</v>
      </c>
      <c r="G7" s="8">
        <v>1.7999999999999999E-11</v>
      </c>
      <c r="H7" s="8">
        <v>2.1900000000000001E-8</v>
      </c>
      <c r="I7" s="8">
        <v>7.6595558851598815</v>
      </c>
    </row>
    <row r="8" spans="1:9">
      <c r="A8" s="8" t="s">
        <v>50</v>
      </c>
      <c r="B8" s="8" t="s">
        <v>88</v>
      </c>
      <c r="C8" s="8">
        <v>62</v>
      </c>
      <c r="D8" s="8">
        <v>11</v>
      </c>
      <c r="E8" s="8">
        <v>0.32</v>
      </c>
      <c r="F8" s="8">
        <v>34.1</v>
      </c>
      <c r="G8" s="8">
        <v>1.92E-14</v>
      </c>
      <c r="H8" s="8">
        <v>1.4000000000000001E-10</v>
      </c>
      <c r="I8" s="8">
        <v>9.8538719643217618</v>
      </c>
    </row>
    <row r="9" spans="1:9">
      <c r="A9" s="8" t="s">
        <v>50</v>
      </c>
      <c r="B9" s="8" t="s">
        <v>89</v>
      </c>
      <c r="C9" s="8">
        <v>202</v>
      </c>
      <c r="D9" s="8">
        <v>13</v>
      </c>
      <c r="E9" s="8">
        <v>1.05</v>
      </c>
      <c r="F9" s="8">
        <v>12.37</v>
      </c>
      <c r="G9" s="8">
        <v>4.6500000000000001E-11</v>
      </c>
      <c r="H9" s="8">
        <v>5.2100000000000003E-8</v>
      </c>
      <c r="I9" s="8">
        <v>7.2831622767004758</v>
      </c>
    </row>
    <row r="10" spans="1:9">
      <c r="A10" s="8" t="s">
        <v>50</v>
      </c>
      <c r="B10" s="8" t="s">
        <v>90</v>
      </c>
      <c r="C10" s="8">
        <v>276</v>
      </c>
      <c r="D10" s="8">
        <v>14</v>
      </c>
      <c r="E10" s="8">
        <v>1.44</v>
      </c>
      <c r="F10" s="8">
        <v>9.75</v>
      </c>
      <c r="G10" s="8">
        <v>1.9100000000000001E-10</v>
      </c>
      <c r="H10" s="8">
        <v>1.54E-7</v>
      </c>
      <c r="I10" s="8">
        <v>6.8124792791635373</v>
      </c>
    </row>
    <row r="11" spans="1:9">
      <c r="A11" s="8" t="s">
        <v>50</v>
      </c>
      <c r="B11" s="8" t="s">
        <v>91</v>
      </c>
      <c r="C11" s="8">
        <v>275</v>
      </c>
      <c r="D11" s="8">
        <v>14</v>
      </c>
      <c r="E11" s="8">
        <v>1.43</v>
      </c>
      <c r="F11" s="8">
        <v>9.7799999999999994</v>
      </c>
      <c r="G11" s="8">
        <v>1.8199999999999999E-10</v>
      </c>
      <c r="H11" s="8">
        <v>1.5599999999999999E-7</v>
      </c>
      <c r="I11" s="8">
        <v>6.8068754016455388</v>
      </c>
    </row>
    <row r="12" spans="1:9">
      <c r="A12" s="8" t="s">
        <v>50</v>
      </c>
      <c r="B12" s="8" t="s">
        <v>92</v>
      </c>
      <c r="C12" s="8">
        <v>15</v>
      </c>
      <c r="D12" s="8">
        <v>7</v>
      </c>
      <c r="E12" s="8">
        <v>0.08</v>
      </c>
      <c r="F12" s="8">
        <v>89.69</v>
      </c>
      <c r="G12" s="8">
        <v>5.3700000000000003E-13</v>
      </c>
      <c r="H12" s="8">
        <v>1.1200000000000001E-9</v>
      </c>
      <c r="I12" s="8">
        <v>8.9507819773298181</v>
      </c>
    </row>
    <row r="13" spans="1:9">
      <c r="A13" s="8" t="s">
        <v>50</v>
      </c>
      <c r="B13" s="8" t="s">
        <v>93</v>
      </c>
      <c r="C13" s="8">
        <v>575</v>
      </c>
      <c r="D13" s="8">
        <v>17</v>
      </c>
      <c r="E13" s="8">
        <v>2.99</v>
      </c>
      <c r="F13" s="8">
        <v>5.68</v>
      </c>
      <c r="G13" s="8">
        <v>7.6999999999999995E-9</v>
      </c>
      <c r="H13" s="8">
        <v>3.7400000000000002E-6</v>
      </c>
      <c r="I13" s="8">
        <v>5.4271283977995202</v>
      </c>
    </row>
    <row r="14" spans="1:9">
      <c r="A14" s="8" t="s">
        <v>50</v>
      </c>
      <c r="B14" s="8" t="s">
        <v>94</v>
      </c>
      <c r="C14" s="8">
        <v>289</v>
      </c>
      <c r="D14" s="8">
        <v>10</v>
      </c>
      <c r="E14" s="8">
        <v>1.5</v>
      </c>
      <c r="F14" s="8">
        <v>6.65</v>
      </c>
      <c r="G14" s="8">
        <v>2.8100000000000002E-6</v>
      </c>
      <c r="H14" s="8">
        <v>5.8600000000000004E-4</v>
      </c>
      <c r="I14" s="8">
        <v>3.2321023839819092</v>
      </c>
    </row>
    <row r="15" spans="1:9">
      <c r="A15" s="8" t="s">
        <v>50</v>
      </c>
      <c r="B15" s="8" t="s">
        <v>95</v>
      </c>
      <c r="C15" s="8">
        <v>5383</v>
      </c>
      <c r="D15" s="8">
        <v>59</v>
      </c>
      <c r="E15" s="8">
        <v>28.01</v>
      </c>
      <c r="F15" s="8">
        <v>2.11</v>
      </c>
      <c r="G15" s="8">
        <v>6.4800000000000004E-10</v>
      </c>
      <c r="H15" s="8">
        <v>4.4900000000000001E-7</v>
      </c>
      <c r="I15" s="8">
        <v>6.3477536589966768</v>
      </c>
    </row>
    <row r="16" spans="1:9">
      <c r="A16" s="8" t="s">
        <v>50</v>
      </c>
      <c r="B16" s="8" t="s">
        <v>96</v>
      </c>
      <c r="C16" s="8">
        <v>2510</v>
      </c>
      <c r="D16" s="8">
        <v>31</v>
      </c>
      <c r="E16" s="8">
        <v>13.06</v>
      </c>
      <c r="F16" s="8">
        <v>2.37</v>
      </c>
      <c r="G16" s="8">
        <v>4.2400000000000001E-6</v>
      </c>
      <c r="H16" s="8">
        <v>8.34E-4</v>
      </c>
      <c r="I16" s="8">
        <v>3.0788339493622612</v>
      </c>
    </row>
    <row r="17" spans="1:9">
      <c r="A17" s="8" t="s">
        <v>51</v>
      </c>
      <c r="B17" s="8" t="s">
        <v>97</v>
      </c>
      <c r="C17" s="8">
        <v>257</v>
      </c>
      <c r="D17" s="8">
        <v>15</v>
      </c>
      <c r="E17" s="8">
        <v>1.34</v>
      </c>
      <c r="F17" s="8">
        <v>11.22</v>
      </c>
      <c r="G17" s="8">
        <v>5.5900000000000002E-12</v>
      </c>
      <c r="H17" s="8">
        <v>5.6599999999999999E-9</v>
      </c>
      <c r="I17" s="8">
        <v>8.2471835688117281</v>
      </c>
    </row>
    <row r="18" spans="1:9">
      <c r="A18" s="8" t="s">
        <v>51</v>
      </c>
      <c r="B18" s="8" t="s">
        <v>98</v>
      </c>
      <c r="C18" s="8">
        <v>361</v>
      </c>
      <c r="D18" s="8">
        <v>17</v>
      </c>
      <c r="E18" s="8">
        <v>1.88</v>
      </c>
      <c r="F18" s="8">
        <v>9.0500000000000007</v>
      </c>
      <c r="G18" s="8">
        <v>6.0900000000000001E-12</v>
      </c>
      <c r="H18" s="8">
        <v>4.1100000000000001E-9</v>
      </c>
      <c r="I18" s="8">
        <v>8.3861581781239316</v>
      </c>
    </row>
    <row r="19" spans="1:9">
      <c r="A19" s="8" t="s">
        <v>51</v>
      </c>
      <c r="B19" s="8" t="s">
        <v>54</v>
      </c>
      <c r="C19" s="8">
        <v>2169</v>
      </c>
      <c r="D19" s="8">
        <v>33</v>
      </c>
      <c r="E19" s="8">
        <v>11.29</v>
      </c>
      <c r="F19" s="8">
        <v>2.92</v>
      </c>
      <c r="G19" s="8">
        <v>1.05E-8</v>
      </c>
      <c r="H19" s="8">
        <v>3.05E-6</v>
      </c>
      <c r="I19" s="8">
        <v>5.5157001606532141</v>
      </c>
    </row>
    <row r="20" spans="1:9">
      <c r="A20" s="8" t="s">
        <v>51</v>
      </c>
      <c r="B20" s="8" t="s">
        <v>99</v>
      </c>
      <c r="C20" s="8">
        <v>220</v>
      </c>
      <c r="D20" s="8">
        <v>13</v>
      </c>
      <c r="E20" s="8">
        <v>1.1399999999999999</v>
      </c>
      <c r="F20" s="8">
        <v>11.36</v>
      </c>
      <c r="G20" s="8">
        <v>1.35E-10</v>
      </c>
      <c r="H20" s="8">
        <v>5.4499999999999998E-8</v>
      </c>
      <c r="I20" s="8">
        <v>7.2636034977233574</v>
      </c>
    </row>
    <row r="21" spans="1:9">
      <c r="A21" s="8" t="s">
        <v>51</v>
      </c>
      <c r="B21" s="8" t="s">
        <v>100</v>
      </c>
      <c r="C21" s="8">
        <v>236</v>
      </c>
      <c r="D21" s="8">
        <v>8</v>
      </c>
      <c r="E21" s="8">
        <v>1.23</v>
      </c>
      <c r="F21" s="8">
        <v>6.51</v>
      </c>
      <c r="G21" s="8">
        <v>3.3500000000000001E-5</v>
      </c>
      <c r="H21" s="8">
        <v>2.7100000000000002E-3</v>
      </c>
      <c r="I21" s="8">
        <v>2.5670307091255942</v>
      </c>
    </row>
    <row r="22" spans="1:9">
      <c r="A22" s="8" t="s">
        <v>51</v>
      </c>
      <c r="B22" s="8" t="s">
        <v>101</v>
      </c>
      <c r="C22" s="8">
        <v>33</v>
      </c>
      <c r="D22" s="8">
        <v>4</v>
      </c>
      <c r="E22" s="8">
        <v>0.17</v>
      </c>
      <c r="F22" s="8">
        <v>23.3</v>
      </c>
      <c r="G22" s="8">
        <v>2.5400000000000001E-5</v>
      </c>
      <c r="H22" s="8">
        <v>2.2300000000000002E-3</v>
      </c>
      <c r="I22" s="8">
        <v>2.6516951369518393</v>
      </c>
    </row>
    <row r="23" spans="1:9">
      <c r="A23" s="8" t="s">
        <v>55</v>
      </c>
      <c r="B23" s="8" t="s">
        <v>102</v>
      </c>
      <c r="C23" s="8">
        <v>1531</v>
      </c>
      <c r="D23" s="8">
        <v>29</v>
      </c>
      <c r="E23" s="8">
        <v>7.97</v>
      </c>
      <c r="F23" s="8">
        <v>3.64</v>
      </c>
      <c r="G23" s="8">
        <v>8.0000000000000003E-10</v>
      </c>
      <c r="H23" s="8">
        <v>2.0499999999999999E-6</v>
      </c>
      <c r="I23" s="8">
        <v>5.6882461389442458</v>
      </c>
    </row>
    <row r="24" spans="1:9">
      <c r="A24" s="8" t="s">
        <v>55</v>
      </c>
      <c r="B24" s="8" t="s">
        <v>61</v>
      </c>
      <c r="C24" s="8">
        <v>7167</v>
      </c>
      <c r="D24" s="8">
        <v>66</v>
      </c>
      <c r="E24" s="8">
        <v>37.29</v>
      </c>
      <c r="F24" s="8">
        <v>1.77</v>
      </c>
      <c r="G24" s="8">
        <v>7.7000000000000001E-8</v>
      </c>
      <c r="H24" s="8">
        <v>7.8899999999999993E-5</v>
      </c>
      <c r="I24" s="8">
        <v>4.1029229967905794</v>
      </c>
    </row>
    <row r="25" spans="1:9">
      <c r="A25" s="8" t="s">
        <v>55</v>
      </c>
      <c r="B25" s="8" t="s">
        <v>103</v>
      </c>
      <c r="C25" s="8">
        <v>395</v>
      </c>
      <c r="D25" s="8">
        <v>11</v>
      </c>
      <c r="E25" s="8">
        <v>2.06</v>
      </c>
      <c r="F25" s="8">
        <v>5.35</v>
      </c>
      <c r="G25" s="8">
        <v>7.0600000000000002E-6</v>
      </c>
      <c r="H25" s="8">
        <v>4.0200000000000001E-3</v>
      </c>
      <c r="I25" s="8">
        <v>2.3957739469155301</v>
      </c>
    </row>
    <row r="26" spans="1:9">
      <c r="A26" s="8" t="s">
        <v>55</v>
      </c>
      <c r="B26" s="8" t="s">
        <v>104</v>
      </c>
      <c r="C26" s="8">
        <v>68</v>
      </c>
      <c r="D26" s="8">
        <v>6</v>
      </c>
      <c r="E26" s="8">
        <v>0.35</v>
      </c>
      <c r="F26" s="8">
        <v>16.96</v>
      </c>
      <c r="G26" s="8">
        <v>1.4699999999999999E-6</v>
      </c>
      <c r="H26" s="8">
        <v>1.08E-3</v>
      </c>
      <c r="I26" s="8">
        <v>2.9665762445130501</v>
      </c>
    </row>
    <row r="27" spans="1:9">
      <c r="A27" s="8" t="s">
        <v>55</v>
      </c>
      <c r="B27" s="8" t="s">
        <v>105</v>
      </c>
      <c r="C27" s="8">
        <v>969</v>
      </c>
      <c r="D27" s="8">
        <v>17</v>
      </c>
      <c r="E27" s="8">
        <v>5.04</v>
      </c>
      <c r="F27" s="8">
        <v>3.37</v>
      </c>
      <c r="G27" s="8">
        <v>1.11E-5</v>
      </c>
      <c r="H27" s="8">
        <v>5.6899999999999997E-3</v>
      </c>
      <c r="I27" s="8">
        <v>2.2448877336049287</v>
      </c>
    </row>
    <row r="28" spans="1:9">
      <c r="A28" s="8" t="s">
        <v>55</v>
      </c>
      <c r="B28" s="8" t="s">
        <v>106</v>
      </c>
      <c r="C28" s="8">
        <v>27</v>
      </c>
      <c r="D28" s="8">
        <v>4</v>
      </c>
      <c r="E28" s="8">
        <v>0.14000000000000001</v>
      </c>
      <c r="F28" s="8">
        <v>28.47</v>
      </c>
      <c r="G28" s="8">
        <v>1.11E-5</v>
      </c>
      <c r="H28" s="8">
        <v>5.1999999999999998E-3</v>
      </c>
      <c r="I28" s="8">
        <v>2.283996656365201</v>
      </c>
    </row>
    <row r="29" spans="1:9">
      <c r="A29" s="8" t="s">
        <v>55</v>
      </c>
      <c r="B29" s="8" t="s">
        <v>107</v>
      </c>
      <c r="C29" s="8">
        <v>3</v>
      </c>
      <c r="D29" s="8">
        <v>2</v>
      </c>
      <c r="E29" s="8">
        <v>0.02</v>
      </c>
      <c r="F29" s="8">
        <v>100</v>
      </c>
      <c r="G29" s="8">
        <v>8.03E-5</v>
      </c>
      <c r="H29" s="8">
        <v>1.9599999999999999E-2</v>
      </c>
      <c r="I29" s="8">
        <v>1.7077439286435239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aged GO select</vt:lpstr>
      <vt:lpstr>aged  GO BP</vt:lpstr>
      <vt:lpstr>aged GO MF</vt:lpstr>
      <vt:lpstr>aged GO CC</vt:lpstr>
      <vt:lpstr>young Reactome select</vt:lpstr>
      <vt:lpstr>young GO select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e67092</dc:creator>
  <cp:lastModifiedBy>e67092</cp:lastModifiedBy>
  <dcterms:created xsi:type="dcterms:W3CDTF">2026-09-22T17:53:16Z</dcterms:created>
  <dcterms:modified xsi:type="dcterms:W3CDTF">2026-10-14T18:57:57Z</dcterms:modified>
</cp:coreProperties>
</file>