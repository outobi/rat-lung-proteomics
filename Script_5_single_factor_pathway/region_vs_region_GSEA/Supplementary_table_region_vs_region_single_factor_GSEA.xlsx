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Script_5_single_factor_pathway/region_vs_region_GSEA/"/>
    </mc:Choice>
  </mc:AlternateContent>
  <xr:revisionPtr revIDLastSave="0" documentId="13_ncr:1_{4D69D838-17EB-894F-8D47-7D44EFD98D9B}" xr6:coauthVersionLast="47" xr6:coauthVersionMax="47" xr10:uidLastSave="{00000000-0000-0000-0000-000000000000}"/>
  <bookViews>
    <workbookView xWindow="5320" yWindow="2360" windowWidth="27240" windowHeight="16440" firstSheet="1" activeTab="6" xr2:uid="{D5BAC588-A04A-2545-A7AC-5EE0BDE63D5D}"/>
  </bookViews>
  <sheets>
    <sheet name="GO bottom &lt; central" sheetId="1" r:id="rId1"/>
    <sheet name="Reactome bottom &lt; central" sheetId="2" r:id="rId2"/>
    <sheet name="GO bottom &lt; peri" sheetId="3" r:id="rId3"/>
    <sheet name="GO central &gt; top" sheetId="6" r:id="rId4"/>
    <sheet name="Reactome central &gt; top" sheetId="7" r:id="rId5"/>
    <sheet name="Reactome central &lt; top" sheetId="10" r:id="rId6"/>
    <sheet name="GO peri &gt; top" sheetId="11" r:id="rId7"/>
    <sheet name="GO peri &lt; top" sheetId="8" r:id="rId8"/>
    <sheet name="Reactome peri &lt; to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1" l="1"/>
  <c r="I7" i="10"/>
  <c r="I6" i="10"/>
  <c r="I5" i="10"/>
  <c r="I4" i="10"/>
  <c r="I3" i="10"/>
  <c r="I2" i="10"/>
  <c r="I2" i="9"/>
  <c r="J3" i="8"/>
  <c r="J4" i="8"/>
  <c r="J5" i="8"/>
  <c r="J6" i="8"/>
  <c r="J7" i="8"/>
  <c r="J8" i="8"/>
  <c r="J9" i="8"/>
  <c r="J10" i="8"/>
  <c r="J11" i="8"/>
  <c r="J12" i="8"/>
  <c r="J13" i="8"/>
  <c r="J14" i="8"/>
  <c r="J2" i="8"/>
  <c r="I3" i="7"/>
  <c r="I4" i="7"/>
  <c r="I5" i="7"/>
  <c r="I6" i="7"/>
  <c r="I7" i="7"/>
  <c r="I8" i="7"/>
  <c r="I2" i="7"/>
  <c r="J3" i="6"/>
  <c r="J4" i="6"/>
  <c r="J5" i="6"/>
  <c r="J6" i="6"/>
  <c r="J7" i="6"/>
  <c r="J8" i="6"/>
  <c r="J9" i="6"/>
  <c r="J10" i="6"/>
  <c r="J11" i="6"/>
  <c r="J12" i="6"/>
  <c r="J2" i="6"/>
  <c r="J3" i="3"/>
  <c r="J4" i="3"/>
  <c r="J5" i="3"/>
  <c r="J6" i="3"/>
  <c r="J7" i="3"/>
  <c r="J2" i="3"/>
  <c r="I3" i="2"/>
  <c r="I4" i="2"/>
  <c r="I5" i="2"/>
  <c r="I6" i="2"/>
  <c r="I7" i="2"/>
  <c r="I8" i="2"/>
  <c r="I9" i="2"/>
  <c r="I10" i="2"/>
  <c r="I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</calcChain>
</file>

<file path=xl/sharedStrings.xml><?xml version="1.0" encoding="utf-8"?>
<sst xmlns="http://schemas.openxmlformats.org/spreadsheetml/2006/main" count="303" uniqueCount="111">
  <si>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</si>
  <si>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</si>
  <si>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</si>
  <si>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</si>
  <si>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</si>
  <si>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</si>
  <si>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</si>
  <si>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</si>
  <si>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GO:0007517</t>
  </si>
  <si>
    <t>muscle organ development</t>
  </si>
  <si>
    <t>GO:0003012</t>
  </si>
  <si>
    <t>muscle system process</t>
  </si>
  <si>
    <t>GO:0010927</t>
  </si>
  <si>
    <t>cellular component assembly involved in morphogenesis</t>
  </si>
  <si>
    <t>GO:0030048</t>
  </si>
  <si>
    <t>actin filament-based movement</t>
  </si>
  <si>
    <t>GO:0050879</t>
  </si>
  <si>
    <t>multicellular organismal movement</t>
  </si>
  <si>
    <t>GO:0050905</t>
  </si>
  <si>
    <t>neuromuscular process</t>
  </si>
  <si>
    <t>GO:0031032</t>
  </si>
  <si>
    <t>actomyosin structure organization</t>
  </si>
  <si>
    <t>GO:0042692</t>
  </si>
  <si>
    <t>muscle cell differentiation</t>
  </si>
  <si>
    <t>GO:0060537</t>
  </si>
  <si>
    <t>muscle tissue development</t>
  </si>
  <si>
    <t>GO:0140694</t>
  </si>
  <si>
    <t>non-membrane-bounded organelle assembly</t>
  </si>
  <si>
    <t>GO:0003205</t>
  </si>
  <si>
    <t>cardiac chamber development</t>
  </si>
  <si>
    <t>GO:0044057</t>
  </si>
  <si>
    <t>regulation of system process</t>
  </si>
  <si>
    <t>GO:0003013</t>
  </si>
  <si>
    <t>circulatory system process</t>
  </si>
  <si>
    <t>GO:0006091</t>
  </si>
  <si>
    <t>generation of precursor metabolites and energy</t>
  </si>
  <si>
    <t>GO:1990776</t>
  </si>
  <si>
    <t>response to angiotensin</t>
  </si>
  <si>
    <t>BP</t>
  </si>
  <si>
    <t>GO</t>
  </si>
  <si>
    <t>GO:0070469</t>
  </si>
  <si>
    <t>respirasome</t>
  </si>
  <si>
    <t>GO:0016528</t>
  </si>
  <si>
    <t>sarcoplasm</t>
  </si>
  <si>
    <t>GO:0043292</t>
  </si>
  <si>
    <t>contractile fiber</t>
  </si>
  <si>
    <t>GO:0098798</t>
  </si>
  <si>
    <t>mitochondrial protein-containing complex</t>
  </si>
  <si>
    <t>GO:1990204</t>
  </si>
  <si>
    <t>oxidoreductase complex</t>
  </si>
  <si>
    <t>GO:0070069</t>
  </si>
  <si>
    <t>cytochrome complex</t>
  </si>
  <si>
    <t>GO:0005759</t>
  </si>
  <si>
    <t>mitochondrial matrix</t>
  </si>
  <si>
    <t>GO:0019866</t>
  </si>
  <si>
    <t>organelle inner membrane</t>
  </si>
  <si>
    <t>GO:0031966</t>
  </si>
  <si>
    <t>mitochondrial membrane</t>
  </si>
  <si>
    <t>GO:0003774</t>
  </si>
  <si>
    <t>cytoskeletal motor activity</t>
  </si>
  <si>
    <t>GO:0005516</t>
  </si>
  <si>
    <t>calmodulin binding</t>
  </si>
  <si>
    <t>CC</t>
  </si>
  <si>
    <t>MF</t>
  </si>
  <si>
    <t>R-RNO-397014</t>
  </si>
  <si>
    <t>Muscle contraction</t>
  </si>
  <si>
    <t>R-RNO-1428517</t>
  </si>
  <si>
    <t>The citric acid (TCA) cycle and respiratory electron transport</t>
  </si>
  <si>
    <t>R-RNO-163200</t>
  </si>
  <si>
    <t>Respiratory electron transport, ATP synthesis by chemiosmotic coupling, and heat production by uncoupling proteins.</t>
  </si>
  <si>
    <t>R-RNO-390522</t>
  </si>
  <si>
    <t>Striated Muscle Contraction</t>
  </si>
  <si>
    <t>R-RNO-611105</t>
  </si>
  <si>
    <t>Respiratory electron transport</t>
  </si>
  <si>
    <t>R-RNO-5578775</t>
  </si>
  <si>
    <t>Ion homeostasis</t>
  </si>
  <si>
    <t>R-RNO-5576891</t>
  </si>
  <si>
    <t>Cardiac conduction</t>
  </si>
  <si>
    <t>R-RNO-983712</t>
  </si>
  <si>
    <t>Ion channel transport</t>
  </si>
  <si>
    <t>R-RNO-71406</t>
  </si>
  <si>
    <t>Pyruvate metabolism and Citric Acid (TCA) cycle</t>
  </si>
  <si>
    <t>GO:0022890</t>
  </si>
  <si>
    <t>inorganic cation transmembrane transporter activity</t>
  </si>
  <si>
    <t>GO:0008324</t>
  </si>
  <si>
    <t>monoatomic cation transmembrane transporter activity</t>
  </si>
  <si>
    <t>GO:1901702</t>
  </si>
  <si>
    <t>salt transmembrane transporter activity</t>
  </si>
  <si>
    <t>GO:0022804</t>
  </si>
  <si>
    <t>active transmembrane transporter activity</t>
  </si>
  <si>
    <t>GO:0008514</t>
  </si>
  <si>
    <t>organic anion transmembrane transporter activity</t>
  </si>
  <si>
    <t>GO:0005342</t>
  </si>
  <si>
    <t>organic acid transmembrane transporter activity</t>
  </si>
  <si>
    <t>GO:0060076</t>
  </si>
  <si>
    <t>excitatory synapse</t>
  </si>
  <si>
    <t>R-RNO-975956</t>
  </si>
  <si>
    <t>Nonsense Mediated Decay (NMD) independent of the Exon Junction Complex (EJC)</t>
  </si>
  <si>
    <t>R-RNO-927802</t>
  </si>
  <si>
    <t>Nonsense-Mediated Decay (NMD)</t>
  </si>
  <si>
    <t>R-RNO-975957</t>
  </si>
  <si>
    <t>Nonsense Mediated Decay (NMD) enhanced by the Exon Junction Complex (EJC)</t>
  </si>
  <si>
    <t>R-RNO-1799339</t>
  </si>
  <si>
    <t>SRP-dependent cotranslational protein targeting to membrane</t>
  </si>
  <si>
    <t>R-RNO-72689</t>
  </si>
  <si>
    <t>Formation of a pool of free 40S subunits</t>
  </si>
  <si>
    <t>R-RNO-425410</t>
  </si>
  <si>
    <t>Metal ion SLC transporters</t>
  </si>
  <si>
    <t>GO:1905360</t>
  </si>
  <si>
    <t>GTPase complex</t>
  </si>
  <si>
    <t>Log10(FDR)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</si>
</sst>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008080"/>
      <name val="Helvetica Neue"/>
      <family val="2"/>
    </font>
    <font>
      <b/>
      <sz val="16"/>
      <color rgb="FF008080"/>
      <name val="Helvetica Neue"/>
      <family val="2"/>
    </font>
    <font>
      <sz val="16"/>
      <color rgb="FF36363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E262-9919-3942-84CE-3A00003B76A7}">
  <dimension ref="A1:J27"/>
  <sheetViews>
    <sheetView workbookViewId="0">
      <selection activeCell="E27" sqref="E27"/>
    </sheetView>
  </sheetViews>
  <sheetFormatPr baseColWidth="10" defaultRowHeight="16" x14ac:dyDescent="0.2"/>
  <sheetData>
    <row r="1" spans="1:10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110</v>
      </c>
    </row>
    <row r="2" spans="1:10" x14ac:dyDescent="0.2">
      <c r="A2" t="s">
        <v>38</v>
      </c>
      <c r="B2" t="s">
        <v>8</v>
      </c>
      <c r="C2" t="s">
        <v>9</v>
      </c>
      <c r="D2">
        <v>86</v>
      </c>
      <c r="E2">
        <v>14</v>
      </c>
      <c r="F2">
        <v>-0.80784</v>
      </c>
      <c r="G2">
        <v>-1.9796</v>
      </c>
      <c r="H2" s="4">
        <v>2.2E-16</v>
      </c>
      <c r="I2" s="4">
        <v>2.2E-16</v>
      </c>
      <c r="J2">
        <f>-LOG10(I2)</f>
        <v>15.657577319177793</v>
      </c>
    </row>
    <row r="3" spans="1:10" x14ac:dyDescent="0.2">
      <c r="A3" t="s">
        <v>38</v>
      </c>
      <c r="B3" t="s">
        <v>10</v>
      </c>
      <c r="C3" t="s">
        <v>11</v>
      </c>
      <c r="D3">
        <v>138</v>
      </c>
      <c r="E3">
        <v>22</v>
      </c>
      <c r="F3">
        <v>-0.80740999999999996</v>
      </c>
      <c r="G3">
        <v>-2.0407000000000002</v>
      </c>
      <c r="H3" s="4">
        <v>2.2E-16</v>
      </c>
      <c r="I3" s="4">
        <v>2.2E-16</v>
      </c>
      <c r="J3">
        <f t="shared" ref="J3:J27" si="0">-LOG10(I3)</f>
        <v>15.657577319177793</v>
      </c>
    </row>
    <row r="4" spans="1:10" x14ac:dyDescent="0.2">
      <c r="A4" t="s">
        <v>38</v>
      </c>
      <c r="B4" t="s">
        <v>12</v>
      </c>
      <c r="C4" t="s">
        <v>13</v>
      </c>
      <c r="D4">
        <v>42</v>
      </c>
      <c r="E4">
        <v>10</v>
      </c>
      <c r="F4">
        <v>-0.89497000000000004</v>
      </c>
      <c r="G4">
        <v>-2.0564</v>
      </c>
      <c r="H4" s="4">
        <v>2.2E-16</v>
      </c>
      <c r="I4" s="4">
        <v>2.2E-16</v>
      </c>
      <c r="J4">
        <f t="shared" si="0"/>
        <v>15.657577319177793</v>
      </c>
    </row>
    <row r="5" spans="1:10" x14ac:dyDescent="0.2">
      <c r="A5" t="s">
        <v>38</v>
      </c>
      <c r="B5" t="s">
        <v>14</v>
      </c>
      <c r="C5" t="s">
        <v>15</v>
      </c>
      <c r="D5">
        <v>43</v>
      </c>
      <c r="E5">
        <v>9</v>
      </c>
      <c r="F5">
        <v>-0.85162000000000004</v>
      </c>
      <c r="G5">
        <v>-1.9653</v>
      </c>
      <c r="H5" s="4">
        <v>2.2E-16</v>
      </c>
      <c r="I5">
        <v>1.9132E-4</v>
      </c>
      <c r="J5">
        <f t="shared" si="0"/>
        <v>3.7182396278000733</v>
      </c>
    </row>
    <row r="6" spans="1:10" x14ac:dyDescent="0.2">
      <c r="A6" t="s">
        <v>38</v>
      </c>
      <c r="B6" t="s">
        <v>16</v>
      </c>
      <c r="C6" t="s">
        <v>17</v>
      </c>
      <c r="D6">
        <v>19</v>
      </c>
      <c r="E6">
        <v>5</v>
      </c>
      <c r="F6">
        <v>-0.92337999999999998</v>
      </c>
      <c r="G6">
        <v>-1.9347000000000001</v>
      </c>
      <c r="H6" s="4">
        <v>2.2E-16</v>
      </c>
      <c r="I6">
        <v>7.6526999999999997E-4</v>
      </c>
      <c r="J6">
        <f t="shared" si="0"/>
        <v>3.1161853114841254</v>
      </c>
    </row>
    <row r="7" spans="1:10" x14ac:dyDescent="0.2">
      <c r="A7" t="s">
        <v>38</v>
      </c>
      <c r="B7" t="s">
        <v>18</v>
      </c>
      <c r="C7" t="s">
        <v>19</v>
      </c>
      <c r="D7">
        <v>54</v>
      </c>
      <c r="E7">
        <v>6</v>
      </c>
      <c r="F7">
        <v>-0.8296</v>
      </c>
      <c r="G7">
        <v>-1.9391</v>
      </c>
      <c r="H7" s="4">
        <v>2.2E-16</v>
      </c>
      <c r="I7">
        <v>7.6526999999999997E-4</v>
      </c>
      <c r="J7">
        <f t="shared" si="0"/>
        <v>3.1161853114841254</v>
      </c>
    </row>
    <row r="8" spans="1:10" x14ac:dyDescent="0.2">
      <c r="A8" t="s">
        <v>38</v>
      </c>
      <c r="B8" t="s">
        <v>20</v>
      </c>
      <c r="C8" t="s">
        <v>21</v>
      </c>
      <c r="D8">
        <v>77</v>
      </c>
      <c r="E8">
        <v>8</v>
      </c>
      <c r="F8">
        <v>-0.79591000000000001</v>
      </c>
      <c r="G8">
        <v>-1.9418</v>
      </c>
      <c r="H8" s="4">
        <v>2.2E-16</v>
      </c>
      <c r="I8">
        <v>9.1832000000000003E-4</v>
      </c>
      <c r="J8">
        <f t="shared" si="0"/>
        <v>3.0370059571236512</v>
      </c>
    </row>
    <row r="9" spans="1:10" x14ac:dyDescent="0.2">
      <c r="A9" t="s">
        <v>38</v>
      </c>
      <c r="B9" t="s">
        <v>22</v>
      </c>
      <c r="C9" t="s">
        <v>23</v>
      </c>
      <c r="D9">
        <v>124</v>
      </c>
      <c r="E9">
        <v>18</v>
      </c>
      <c r="F9">
        <v>-0.77</v>
      </c>
      <c r="G9">
        <v>-1.9136</v>
      </c>
      <c r="H9" s="4">
        <v>2.2E-16</v>
      </c>
      <c r="I9">
        <v>1.7218999999999999E-3</v>
      </c>
      <c r="J9">
        <f t="shared" si="0"/>
        <v>2.7639920739678789</v>
      </c>
    </row>
    <row r="10" spans="1:10" x14ac:dyDescent="0.2">
      <c r="A10" t="s">
        <v>38</v>
      </c>
      <c r="B10" t="s">
        <v>24</v>
      </c>
      <c r="C10" t="s">
        <v>25</v>
      </c>
      <c r="D10">
        <v>128</v>
      </c>
      <c r="E10">
        <v>18</v>
      </c>
      <c r="F10">
        <v>-0.75499000000000005</v>
      </c>
      <c r="G10">
        <v>-1.8925000000000001</v>
      </c>
      <c r="H10" s="4">
        <v>2.2E-16</v>
      </c>
      <c r="I10">
        <v>2.908E-3</v>
      </c>
      <c r="J10">
        <f t="shared" si="0"/>
        <v>2.5364055978129998</v>
      </c>
    </row>
    <row r="11" spans="1:10" x14ac:dyDescent="0.2">
      <c r="A11" t="s">
        <v>38</v>
      </c>
      <c r="B11" t="s">
        <v>26</v>
      </c>
      <c r="C11" t="s">
        <v>27</v>
      </c>
      <c r="D11">
        <v>105</v>
      </c>
      <c r="E11">
        <v>8</v>
      </c>
      <c r="F11">
        <v>-0.76788999999999996</v>
      </c>
      <c r="G11">
        <v>-1.8959999999999999</v>
      </c>
      <c r="H11" s="4">
        <v>2.2E-16</v>
      </c>
      <c r="I11">
        <v>3.0611000000000002E-3</v>
      </c>
      <c r="J11">
        <f t="shared" si="0"/>
        <v>2.5141224826408863</v>
      </c>
    </row>
    <row r="12" spans="1:10" x14ac:dyDescent="0.2">
      <c r="A12" t="s">
        <v>38</v>
      </c>
      <c r="B12" t="s">
        <v>28</v>
      </c>
      <c r="C12" t="s">
        <v>29</v>
      </c>
      <c r="D12">
        <v>43</v>
      </c>
      <c r="E12">
        <v>7</v>
      </c>
      <c r="F12">
        <v>-0.82201999999999997</v>
      </c>
      <c r="G12">
        <v>-1.8742000000000001</v>
      </c>
      <c r="H12" s="4">
        <v>2.2E-16</v>
      </c>
      <c r="I12">
        <v>5.0379999999999999E-3</v>
      </c>
      <c r="J12">
        <f t="shared" si="0"/>
        <v>2.2977418368379059</v>
      </c>
    </row>
    <row r="13" spans="1:10" x14ac:dyDescent="0.2">
      <c r="A13" t="s">
        <v>38</v>
      </c>
      <c r="B13" t="s">
        <v>30</v>
      </c>
      <c r="C13" t="s">
        <v>31</v>
      </c>
      <c r="D13">
        <v>173</v>
      </c>
      <c r="E13">
        <v>20</v>
      </c>
      <c r="F13">
        <v>-0.72970999999999997</v>
      </c>
      <c r="G13">
        <v>-1.8755999999999999</v>
      </c>
      <c r="H13" s="4">
        <v>2.2E-16</v>
      </c>
      <c r="I13">
        <v>5.2873E-3</v>
      </c>
      <c r="J13">
        <f t="shared" si="0"/>
        <v>2.2767660471420346</v>
      </c>
    </row>
    <row r="14" spans="1:10" x14ac:dyDescent="0.2">
      <c r="A14" t="s">
        <v>38</v>
      </c>
      <c r="B14" t="s">
        <v>32</v>
      </c>
      <c r="C14" t="s">
        <v>33</v>
      </c>
      <c r="D14">
        <v>171</v>
      </c>
      <c r="E14">
        <v>18</v>
      </c>
      <c r="F14">
        <v>-0.71958999999999995</v>
      </c>
      <c r="G14">
        <v>-1.8334999999999999</v>
      </c>
      <c r="H14" s="4">
        <v>2.2E-16</v>
      </c>
      <c r="I14">
        <v>1.4128E-2</v>
      </c>
      <c r="J14">
        <f t="shared" si="0"/>
        <v>1.8499193137665066</v>
      </c>
    </row>
    <row r="15" spans="1:10" x14ac:dyDescent="0.2">
      <c r="A15" t="s">
        <v>38</v>
      </c>
      <c r="B15" t="s">
        <v>34</v>
      </c>
      <c r="C15" t="s">
        <v>35</v>
      </c>
      <c r="D15">
        <v>156</v>
      </c>
      <c r="E15">
        <v>70</v>
      </c>
      <c r="F15">
        <v>-0.71455999999999997</v>
      </c>
      <c r="G15">
        <v>-1.8156000000000001</v>
      </c>
      <c r="H15" s="4">
        <v>2.2E-16</v>
      </c>
      <c r="I15">
        <v>2.1153999999999999E-2</v>
      </c>
      <c r="J15">
        <f t="shared" si="0"/>
        <v>1.6746074999827367</v>
      </c>
    </row>
    <row r="16" spans="1:10" x14ac:dyDescent="0.2">
      <c r="A16" t="s">
        <v>38</v>
      </c>
      <c r="B16" t="s">
        <v>36</v>
      </c>
      <c r="C16" t="s">
        <v>37</v>
      </c>
      <c r="D16">
        <v>23</v>
      </c>
      <c r="E16">
        <v>1</v>
      </c>
      <c r="F16">
        <v>-0.83609999999999995</v>
      </c>
      <c r="G16">
        <v>-1.8032999999999999</v>
      </c>
      <c r="H16">
        <v>7.0028E-3</v>
      </c>
      <c r="I16">
        <v>2.6630999999999998E-2</v>
      </c>
      <c r="J16">
        <f t="shared" si="0"/>
        <v>1.574612525400042</v>
      </c>
    </row>
    <row r="17" spans="1:10" x14ac:dyDescent="0.2">
      <c r="A17" t="s">
        <v>62</v>
      </c>
      <c r="B17" t="s">
        <v>40</v>
      </c>
      <c r="C17" t="s">
        <v>41</v>
      </c>
      <c r="D17">
        <v>22</v>
      </c>
      <c r="E17">
        <v>21</v>
      </c>
      <c r="F17">
        <v>-0.90529999999999999</v>
      </c>
      <c r="G17">
        <v>-1.9626999999999999</v>
      </c>
      <c r="H17" s="4">
        <v>2.2E-16</v>
      </c>
      <c r="I17" s="4">
        <v>2.2E-16</v>
      </c>
      <c r="J17">
        <f t="shared" si="0"/>
        <v>15.657577319177793</v>
      </c>
    </row>
    <row r="18" spans="1:10" x14ac:dyDescent="0.2">
      <c r="A18" t="s">
        <v>62</v>
      </c>
      <c r="B18" t="s">
        <v>42</v>
      </c>
      <c r="C18" t="s">
        <v>43</v>
      </c>
      <c r="D18">
        <v>43</v>
      </c>
      <c r="E18">
        <v>12</v>
      </c>
      <c r="F18">
        <v>-0.87448999999999999</v>
      </c>
      <c r="G18">
        <v>-2.0225</v>
      </c>
      <c r="H18" s="4">
        <v>2.2E-16</v>
      </c>
      <c r="I18" s="4">
        <v>2.2E-16</v>
      </c>
      <c r="J18">
        <f t="shared" si="0"/>
        <v>15.657577319177793</v>
      </c>
    </row>
    <row r="19" spans="1:10" x14ac:dyDescent="0.2">
      <c r="A19" t="s">
        <v>62</v>
      </c>
      <c r="B19" t="s">
        <v>44</v>
      </c>
      <c r="C19" t="s">
        <v>45</v>
      </c>
      <c r="D19">
        <v>99</v>
      </c>
      <c r="E19">
        <v>18</v>
      </c>
      <c r="F19">
        <v>-0.84736999999999996</v>
      </c>
      <c r="G19">
        <v>-2.0790000000000002</v>
      </c>
      <c r="H19" s="4">
        <v>2.2E-16</v>
      </c>
      <c r="I19" s="4">
        <v>2.2E-16</v>
      </c>
      <c r="J19">
        <f t="shared" si="0"/>
        <v>15.657577319177793</v>
      </c>
    </row>
    <row r="20" spans="1:10" x14ac:dyDescent="0.2">
      <c r="A20" t="s">
        <v>62</v>
      </c>
      <c r="B20" t="s">
        <v>46</v>
      </c>
      <c r="C20" t="s">
        <v>47</v>
      </c>
      <c r="D20">
        <v>84</v>
      </c>
      <c r="E20">
        <v>66</v>
      </c>
      <c r="F20">
        <v>-0.78</v>
      </c>
      <c r="G20">
        <v>-1.893</v>
      </c>
      <c r="H20" s="4">
        <v>2.2E-16</v>
      </c>
      <c r="I20">
        <v>1.0124999999999999E-3</v>
      </c>
      <c r="J20">
        <f t="shared" si="0"/>
        <v>2.9946049681132938</v>
      </c>
    </row>
    <row r="21" spans="1:10" x14ac:dyDescent="0.2">
      <c r="A21" t="s">
        <v>62</v>
      </c>
      <c r="B21" t="s">
        <v>48</v>
      </c>
      <c r="C21" t="s">
        <v>49</v>
      </c>
      <c r="D21">
        <v>42</v>
      </c>
      <c r="E21">
        <v>29</v>
      </c>
      <c r="F21">
        <v>-0.81008000000000002</v>
      </c>
      <c r="G21">
        <v>-1.8474999999999999</v>
      </c>
      <c r="H21">
        <v>1.2179999999999999E-3</v>
      </c>
      <c r="I21">
        <v>4.3740999999999997E-3</v>
      </c>
      <c r="J21">
        <f t="shared" si="0"/>
        <v>2.3591112924113795</v>
      </c>
    </row>
    <row r="22" spans="1:10" x14ac:dyDescent="0.2">
      <c r="A22" t="s">
        <v>62</v>
      </c>
      <c r="B22" t="s">
        <v>50</v>
      </c>
      <c r="C22" t="s">
        <v>51</v>
      </c>
      <c r="D22">
        <v>11</v>
      </c>
      <c r="E22">
        <v>9</v>
      </c>
      <c r="F22">
        <v>-0.91300000000000003</v>
      </c>
      <c r="G22">
        <v>-1.7969999999999999</v>
      </c>
      <c r="H22">
        <v>1.5504E-3</v>
      </c>
      <c r="I22">
        <v>1.6201E-2</v>
      </c>
      <c r="J22">
        <f t="shared" si="0"/>
        <v>1.7904581779833997</v>
      </c>
    </row>
    <row r="23" spans="1:10" x14ac:dyDescent="0.2">
      <c r="A23" t="s">
        <v>62</v>
      </c>
      <c r="B23" t="s">
        <v>52</v>
      </c>
      <c r="C23" t="s">
        <v>53</v>
      </c>
      <c r="D23">
        <v>120</v>
      </c>
      <c r="E23">
        <v>80</v>
      </c>
      <c r="F23">
        <v>-0.72065999999999997</v>
      </c>
      <c r="G23">
        <v>-1.7704</v>
      </c>
      <c r="H23" s="4">
        <v>2.2E-16</v>
      </c>
      <c r="I23">
        <v>1.8631000000000002E-2</v>
      </c>
      <c r="J23">
        <f t="shared" si="0"/>
        <v>1.7297638341629877</v>
      </c>
    </row>
    <row r="24" spans="1:10" x14ac:dyDescent="0.2">
      <c r="A24" t="s">
        <v>62</v>
      </c>
      <c r="B24" t="s">
        <v>54</v>
      </c>
      <c r="C24" t="s">
        <v>55</v>
      </c>
      <c r="D24">
        <v>135</v>
      </c>
      <c r="E24">
        <v>68</v>
      </c>
      <c r="F24">
        <v>-0.70262000000000002</v>
      </c>
      <c r="G24">
        <v>-1.7829999999999999</v>
      </c>
      <c r="H24" s="4">
        <v>2.2E-16</v>
      </c>
      <c r="I24">
        <v>1.9324999999999998E-2</v>
      </c>
      <c r="J24">
        <f t="shared" si="0"/>
        <v>1.7138804974096375</v>
      </c>
    </row>
    <row r="25" spans="1:10" x14ac:dyDescent="0.2">
      <c r="A25" t="s">
        <v>62</v>
      </c>
      <c r="B25" t="s">
        <v>56</v>
      </c>
      <c r="C25" t="s">
        <v>57</v>
      </c>
      <c r="D25">
        <v>214</v>
      </c>
      <c r="E25">
        <v>94</v>
      </c>
      <c r="F25">
        <v>-0.69401000000000002</v>
      </c>
      <c r="G25">
        <v>-1.7744</v>
      </c>
      <c r="H25" s="4">
        <v>2.2E-16</v>
      </c>
      <c r="I25">
        <v>1.9441E-2</v>
      </c>
      <c r="J25">
        <f t="shared" si="0"/>
        <v>1.7112813997331928</v>
      </c>
    </row>
    <row r="26" spans="1:10" x14ac:dyDescent="0.2">
      <c r="A26" t="s">
        <v>63</v>
      </c>
      <c r="B26" t="s">
        <v>58</v>
      </c>
      <c r="C26" t="s">
        <v>59</v>
      </c>
      <c r="D26">
        <v>20</v>
      </c>
      <c r="E26">
        <v>3</v>
      </c>
      <c r="F26">
        <v>-0.87880999999999998</v>
      </c>
      <c r="G26">
        <v>-1.8463000000000001</v>
      </c>
      <c r="H26" s="4">
        <v>2.2E-16</v>
      </c>
      <c r="I26">
        <v>4.5144999999999998E-2</v>
      </c>
      <c r="J26">
        <f t="shared" si="0"/>
        <v>1.3453903426407292</v>
      </c>
    </row>
    <row r="27" spans="1:10" x14ac:dyDescent="0.2">
      <c r="A27" t="s">
        <v>63</v>
      </c>
      <c r="B27" t="s">
        <v>60</v>
      </c>
      <c r="C27" t="s">
        <v>61</v>
      </c>
      <c r="D27">
        <v>57</v>
      </c>
      <c r="E27">
        <v>6</v>
      </c>
      <c r="F27">
        <v>-0.76327999999999996</v>
      </c>
      <c r="G27">
        <v>-1.8244</v>
      </c>
      <c r="H27">
        <v>1.1891E-3</v>
      </c>
      <c r="I27">
        <v>4.6421999999999998E-2</v>
      </c>
      <c r="J27">
        <f t="shared" si="0"/>
        <v>1.3332761527587564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F21A-0A35-B247-BA76-840338D5D9B5}">
  <dimension ref="A1:I10"/>
  <sheetViews>
    <sheetView workbookViewId="0">
      <selection activeCell="I2" sqref="I2:I10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2">
      <c r="A2" t="s">
        <v>64</v>
      </c>
      <c r="B2" t="s">
        <v>65</v>
      </c>
      <c r="C2">
        <v>59</v>
      </c>
      <c r="D2">
        <v>10</v>
      </c>
      <c r="E2">
        <v>-0.85170999999999997</v>
      </c>
      <c r="F2">
        <v>-2.0310999999999999</v>
      </c>
      <c r="G2" s="4">
        <v>2.2E-16</v>
      </c>
      <c r="H2" s="4">
        <v>2.2E-16</v>
      </c>
      <c r="I2">
        <f>-LOG10(H2)</f>
        <v>15.657577319177793</v>
      </c>
    </row>
    <row r="3" spans="1:9" x14ac:dyDescent="0.2">
      <c r="A3" t="s">
        <v>66</v>
      </c>
      <c r="B3" t="s">
        <v>67</v>
      </c>
      <c r="C3">
        <v>61</v>
      </c>
      <c r="D3">
        <v>54</v>
      </c>
      <c r="E3">
        <v>-0.86768999999999996</v>
      </c>
      <c r="F3">
        <v>-2.0583999999999998</v>
      </c>
      <c r="G3" s="4">
        <v>2.2E-16</v>
      </c>
      <c r="H3" s="4">
        <v>2.2E-16</v>
      </c>
      <c r="I3">
        <f t="shared" ref="I3:I10" si="0">-LOG10(H3)</f>
        <v>15.657577319177793</v>
      </c>
    </row>
    <row r="4" spans="1:9" x14ac:dyDescent="0.2">
      <c r="A4" t="s">
        <v>68</v>
      </c>
      <c r="B4" t="s">
        <v>69</v>
      </c>
      <c r="C4">
        <v>37</v>
      </c>
      <c r="D4">
        <v>34</v>
      </c>
      <c r="E4">
        <v>-0.88192000000000004</v>
      </c>
      <c r="F4">
        <v>-1.9725999999999999</v>
      </c>
      <c r="G4" s="4">
        <v>2.2E-16</v>
      </c>
      <c r="H4">
        <v>1.9112999999999999E-4</v>
      </c>
      <c r="I4">
        <f t="shared" si="0"/>
        <v>3.7186711401982961</v>
      </c>
    </row>
    <row r="5" spans="1:9" x14ac:dyDescent="0.2">
      <c r="A5" t="s">
        <v>70</v>
      </c>
      <c r="B5" t="s">
        <v>71</v>
      </c>
      <c r="C5">
        <v>14</v>
      </c>
      <c r="D5">
        <v>6</v>
      </c>
      <c r="E5">
        <v>-0.94164999999999999</v>
      </c>
      <c r="F5">
        <v>-1.9157999999999999</v>
      </c>
      <c r="G5" s="4">
        <v>2.2E-16</v>
      </c>
      <c r="H5">
        <v>1.2901E-3</v>
      </c>
      <c r="I5">
        <f t="shared" si="0"/>
        <v>2.8893766247666695</v>
      </c>
    </row>
    <row r="6" spans="1:9" x14ac:dyDescent="0.2">
      <c r="A6" t="s">
        <v>72</v>
      </c>
      <c r="B6" t="s">
        <v>73</v>
      </c>
      <c r="C6">
        <v>28</v>
      </c>
      <c r="D6">
        <v>26</v>
      </c>
      <c r="E6">
        <v>-0.87594000000000005</v>
      </c>
      <c r="F6">
        <v>-1.8962000000000001</v>
      </c>
      <c r="G6" s="4">
        <v>2.2E-16</v>
      </c>
      <c r="H6">
        <v>2.7713999999999998E-3</v>
      </c>
      <c r="I6">
        <f t="shared" si="0"/>
        <v>2.5573007873698095</v>
      </c>
    </row>
    <row r="7" spans="1:9" x14ac:dyDescent="0.2">
      <c r="A7" t="s">
        <v>74</v>
      </c>
      <c r="B7" t="s">
        <v>75</v>
      </c>
      <c r="C7">
        <v>25</v>
      </c>
      <c r="D7">
        <v>5</v>
      </c>
      <c r="E7">
        <v>-0.87909000000000004</v>
      </c>
      <c r="F7">
        <v>-1.8964000000000001</v>
      </c>
      <c r="G7" s="4">
        <v>2.2E-16</v>
      </c>
      <c r="H7">
        <v>3.3257E-3</v>
      </c>
      <c r="I7">
        <f t="shared" si="0"/>
        <v>2.4781169295665375</v>
      </c>
    </row>
    <row r="8" spans="1:9" x14ac:dyDescent="0.2">
      <c r="A8" t="s">
        <v>76</v>
      </c>
      <c r="B8" t="s">
        <v>77</v>
      </c>
      <c r="C8">
        <v>31</v>
      </c>
      <c r="D8">
        <v>5</v>
      </c>
      <c r="E8">
        <v>-0.84645000000000004</v>
      </c>
      <c r="F8">
        <v>-1.8823000000000001</v>
      </c>
      <c r="G8" s="4">
        <v>2.2E-16</v>
      </c>
      <c r="H8">
        <v>4.6690999999999998E-3</v>
      </c>
      <c r="I8">
        <f t="shared" si="0"/>
        <v>2.3307668245093067</v>
      </c>
    </row>
    <row r="9" spans="1:9" x14ac:dyDescent="0.2">
      <c r="A9" t="s">
        <v>78</v>
      </c>
      <c r="B9" t="s">
        <v>79</v>
      </c>
      <c r="C9">
        <v>35</v>
      </c>
      <c r="D9">
        <v>6</v>
      </c>
      <c r="E9">
        <v>-0.81479000000000001</v>
      </c>
      <c r="F9">
        <v>-1.8151999999999999</v>
      </c>
      <c r="G9">
        <v>2.5316000000000002E-3</v>
      </c>
      <c r="H9">
        <v>2.9530000000000001E-2</v>
      </c>
      <c r="I9">
        <f t="shared" si="0"/>
        <v>1.5297365530349216</v>
      </c>
    </row>
    <row r="10" spans="1:9" x14ac:dyDescent="0.2">
      <c r="A10" t="s">
        <v>80</v>
      </c>
      <c r="B10" t="s">
        <v>81</v>
      </c>
      <c r="C10">
        <v>24</v>
      </c>
      <c r="D10">
        <v>20</v>
      </c>
      <c r="E10">
        <v>-0.82764000000000004</v>
      </c>
      <c r="F10">
        <v>-1.7951999999999999</v>
      </c>
      <c r="G10" s="4">
        <v>2.2E-16</v>
      </c>
      <c r="H10">
        <v>4.5872000000000003E-2</v>
      </c>
      <c r="I10">
        <f t="shared" si="0"/>
        <v>1.3384523243975908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8695-9FF9-2A49-86C6-246757097E1E}">
  <dimension ref="A1:J7"/>
  <sheetViews>
    <sheetView workbookViewId="0">
      <selection activeCell="H7" sqref="H7"/>
    </sheetView>
  </sheetViews>
  <sheetFormatPr baseColWidth="10" defaultRowHeight="16" x14ac:dyDescent="0.2"/>
  <sheetData>
    <row r="1" spans="1:10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110</v>
      </c>
    </row>
    <row r="2" spans="1:10" x14ac:dyDescent="0.2">
      <c r="A2" t="s">
        <v>63</v>
      </c>
      <c r="B2" t="s">
        <v>82</v>
      </c>
      <c r="C2" t="s">
        <v>83</v>
      </c>
      <c r="D2">
        <v>106</v>
      </c>
      <c r="E2">
        <v>48</v>
      </c>
      <c r="F2">
        <v>-0.55723</v>
      </c>
      <c r="G2">
        <v>-1.9836</v>
      </c>
      <c r="H2" s="4">
        <v>2.2E-16</v>
      </c>
      <c r="I2">
        <v>5.6990000000000001E-3</v>
      </c>
      <c r="J2">
        <f>-LOG10(I2)</f>
        <v>2.2442013430261696</v>
      </c>
    </row>
    <row r="3" spans="1:10" x14ac:dyDescent="0.2">
      <c r="A3" t="s">
        <v>63</v>
      </c>
      <c r="B3" t="s">
        <v>84</v>
      </c>
      <c r="C3" t="s">
        <v>85</v>
      </c>
      <c r="D3">
        <v>111</v>
      </c>
      <c r="E3">
        <v>55</v>
      </c>
      <c r="F3">
        <v>-0.56008000000000002</v>
      </c>
      <c r="G3">
        <v>-2.0064000000000002</v>
      </c>
      <c r="H3" s="4">
        <v>2.2E-16</v>
      </c>
      <c r="I3">
        <v>8.5485000000000005E-3</v>
      </c>
      <c r="J3">
        <f t="shared" ref="J3:J7" si="0">-LOG10(I3)</f>
        <v>2.0681100839704882</v>
      </c>
    </row>
    <row r="4" spans="1:10" x14ac:dyDescent="0.2">
      <c r="A4" t="s">
        <v>63</v>
      </c>
      <c r="B4" t="s">
        <v>86</v>
      </c>
      <c r="C4" t="s">
        <v>87</v>
      </c>
      <c r="D4">
        <v>97</v>
      </c>
      <c r="E4">
        <v>52</v>
      </c>
      <c r="F4">
        <v>-0.54181000000000001</v>
      </c>
      <c r="G4">
        <v>-1.8923000000000001</v>
      </c>
      <c r="H4" s="4">
        <v>2.2E-16</v>
      </c>
      <c r="I4">
        <v>1.1207999999999999E-2</v>
      </c>
      <c r="J4">
        <f t="shared" si="0"/>
        <v>1.9504718777222818</v>
      </c>
    </row>
    <row r="5" spans="1:10" x14ac:dyDescent="0.2">
      <c r="A5" t="s">
        <v>63</v>
      </c>
      <c r="B5" t="s">
        <v>88</v>
      </c>
      <c r="C5" t="s">
        <v>89</v>
      </c>
      <c r="D5">
        <v>94</v>
      </c>
      <c r="E5">
        <v>49</v>
      </c>
      <c r="F5">
        <v>-0.53315999999999997</v>
      </c>
      <c r="G5">
        <v>-1.8718999999999999</v>
      </c>
      <c r="H5" s="4">
        <v>2.2E-16</v>
      </c>
      <c r="I5">
        <v>1.2664E-2</v>
      </c>
      <c r="J5">
        <f t="shared" si="0"/>
        <v>1.8974290981457005</v>
      </c>
    </row>
    <row r="6" spans="1:10" x14ac:dyDescent="0.2">
      <c r="A6" t="s">
        <v>63</v>
      </c>
      <c r="B6" t="s">
        <v>90</v>
      </c>
      <c r="C6" t="s">
        <v>91</v>
      </c>
      <c r="D6">
        <v>37</v>
      </c>
      <c r="E6">
        <v>25</v>
      </c>
      <c r="F6">
        <v>-0.64417999999999997</v>
      </c>
      <c r="G6">
        <v>-1.9091</v>
      </c>
      <c r="H6">
        <v>1.3966E-3</v>
      </c>
      <c r="I6">
        <v>1.3613999999999999E-2</v>
      </c>
      <c r="J6">
        <f t="shared" si="0"/>
        <v>1.8660142537314204</v>
      </c>
    </row>
    <row r="7" spans="1:10" x14ac:dyDescent="0.2">
      <c r="A7" t="s">
        <v>63</v>
      </c>
      <c r="B7" t="s">
        <v>92</v>
      </c>
      <c r="C7" t="s">
        <v>93</v>
      </c>
      <c r="D7">
        <v>23</v>
      </c>
      <c r="E7">
        <v>17</v>
      </c>
      <c r="F7">
        <v>-0.70038</v>
      </c>
      <c r="G7">
        <v>-1.8929</v>
      </c>
      <c r="H7" s="4">
        <v>2.2E-16</v>
      </c>
      <c r="I7">
        <v>1.3773000000000001E-2</v>
      </c>
      <c r="J7">
        <f t="shared" si="0"/>
        <v>1.8609714525143168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7902-4A75-8F48-A30F-5B90E5250442}">
  <dimension ref="A1:J33"/>
  <sheetViews>
    <sheetView zoomScaleNormal="100" workbookViewId="0">
      <selection activeCell="I27" sqref="I27"/>
    </sheetView>
  </sheetViews>
  <sheetFormatPr baseColWidth="10" defaultRowHeight="16" x14ac:dyDescent="0.2"/>
  <sheetData>
    <row r="1" spans="1:10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110</v>
      </c>
    </row>
    <row r="2" spans="1:10" x14ac:dyDescent="0.2">
      <c r="A2" t="s">
        <v>38</v>
      </c>
      <c r="B2" t="s">
        <v>10</v>
      </c>
      <c r="C2" t="s">
        <v>11</v>
      </c>
      <c r="D2">
        <v>138</v>
      </c>
      <c r="E2">
        <v>25</v>
      </c>
      <c r="F2">
        <v>0.62290000000000001</v>
      </c>
      <c r="G2">
        <v>1.9712000000000001</v>
      </c>
      <c r="H2" s="4">
        <v>2.2E-16</v>
      </c>
      <c r="I2">
        <v>2.8828999999999999E-3</v>
      </c>
      <c r="J2">
        <f>-LOG10(I2)</f>
        <v>2.5401704218509202</v>
      </c>
    </row>
    <row r="3" spans="1:10" x14ac:dyDescent="0.2">
      <c r="A3" t="s">
        <v>38</v>
      </c>
      <c r="B3" t="s">
        <v>12</v>
      </c>
      <c r="C3" t="s">
        <v>13</v>
      </c>
      <c r="D3">
        <v>42</v>
      </c>
      <c r="E3">
        <v>12</v>
      </c>
      <c r="F3">
        <v>0.75792000000000004</v>
      </c>
      <c r="G3">
        <v>2.0293000000000001</v>
      </c>
      <c r="H3" s="4">
        <v>2.2E-16</v>
      </c>
      <c r="I3">
        <v>3.5482000000000001E-3</v>
      </c>
      <c r="J3">
        <f t="shared" ref="J3:J12" si="0">-LOG10(I3)</f>
        <v>2.4499919084433652</v>
      </c>
    </row>
    <row r="4" spans="1:10" x14ac:dyDescent="0.2">
      <c r="A4" t="s">
        <v>38</v>
      </c>
      <c r="B4" t="s">
        <v>14</v>
      </c>
      <c r="C4" t="s">
        <v>15</v>
      </c>
      <c r="D4">
        <v>43</v>
      </c>
      <c r="E4">
        <v>9</v>
      </c>
      <c r="F4">
        <v>0.71182000000000001</v>
      </c>
      <c r="G4">
        <v>1.9881</v>
      </c>
      <c r="H4" s="4">
        <v>2.2E-16</v>
      </c>
      <c r="I4">
        <v>3.5482000000000001E-3</v>
      </c>
      <c r="J4">
        <f t="shared" si="0"/>
        <v>2.4499919084433652</v>
      </c>
    </row>
    <row r="5" spans="1:10" x14ac:dyDescent="0.2">
      <c r="A5" t="s">
        <v>38</v>
      </c>
      <c r="B5" t="s">
        <v>16</v>
      </c>
      <c r="C5" t="s">
        <v>17</v>
      </c>
      <c r="D5">
        <v>19</v>
      </c>
      <c r="E5">
        <v>7</v>
      </c>
      <c r="F5">
        <v>0.82689000000000001</v>
      </c>
      <c r="G5">
        <v>1.9728000000000001</v>
      </c>
      <c r="H5" s="4">
        <v>2.2E-16</v>
      </c>
      <c r="I5">
        <v>3.5482000000000001E-3</v>
      </c>
      <c r="J5">
        <f t="shared" si="0"/>
        <v>2.4499919084433652</v>
      </c>
    </row>
    <row r="6" spans="1:10" x14ac:dyDescent="0.2">
      <c r="A6" t="s">
        <v>38</v>
      </c>
      <c r="B6" t="s">
        <v>8</v>
      </c>
      <c r="C6" t="s">
        <v>9</v>
      </c>
      <c r="D6">
        <v>86</v>
      </c>
      <c r="E6">
        <v>20</v>
      </c>
      <c r="F6">
        <v>0.63561999999999996</v>
      </c>
      <c r="G6">
        <v>1.9131</v>
      </c>
      <c r="H6" s="4">
        <v>2.2E-16</v>
      </c>
      <c r="I6">
        <v>1.2773E-2</v>
      </c>
      <c r="J6">
        <f t="shared" si="0"/>
        <v>1.8937070878243425</v>
      </c>
    </row>
    <row r="7" spans="1:10" x14ac:dyDescent="0.2">
      <c r="A7" t="s">
        <v>38</v>
      </c>
      <c r="B7" t="s">
        <v>24</v>
      </c>
      <c r="C7" t="s">
        <v>25</v>
      </c>
      <c r="D7">
        <v>128</v>
      </c>
      <c r="E7">
        <v>23</v>
      </c>
      <c r="F7">
        <v>0.59853999999999996</v>
      </c>
      <c r="G7">
        <v>1.873</v>
      </c>
      <c r="H7" s="4">
        <v>2.2E-16</v>
      </c>
      <c r="I7">
        <v>2.5429E-2</v>
      </c>
      <c r="J7">
        <f t="shared" si="0"/>
        <v>1.5946707181971242</v>
      </c>
    </row>
    <row r="8" spans="1:10" x14ac:dyDescent="0.2">
      <c r="A8" t="s">
        <v>62</v>
      </c>
      <c r="B8" t="s">
        <v>44</v>
      </c>
      <c r="C8" t="s">
        <v>45</v>
      </c>
      <c r="D8">
        <v>99</v>
      </c>
      <c r="E8">
        <v>26</v>
      </c>
      <c r="F8">
        <v>0.71140999999999999</v>
      </c>
      <c r="G8">
        <v>2.2334999999999998</v>
      </c>
      <c r="H8" s="4">
        <v>2.2E-16</v>
      </c>
      <c r="I8" s="4">
        <v>2.2E-16</v>
      </c>
      <c r="J8">
        <f t="shared" si="0"/>
        <v>15.657577319177793</v>
      </c>
    </row>
    <row r="9" spans="1:10" x14ac:dyDescent="0.2">
      <c r="A9" t="s">
        <v>62</v>
      </c>
      <c r="B9" t="s">
        <v>42</v>
      </c>
      <c r="C9" t="s">
        <v>43</v>
      </c>
      <c r="D9">
        <v>43</v>
      </c>
      <c r="E9">
        <v>11</v>
      </c>
      <c r="F9">
        <v>0.76173000000000002</v>
      </c>
      <c r="G9">
        <v>2.0931000000000002</v>
      </c>
      <c r="H9" s="4">
        <v>2.2E-16</v>
      </c>
      <c r="I9" s="4">
        <v>2.2E-16</v>
      </c>
      <c r="J9">
        <f t="shared" si="0"/>
        <v>15.657577319177793</v>
      </c>
    </row>
    <row r="10" spans="1:10" x14ac:dyDescent="0.2">
      <c r="A10" t="s">
        <v>62</v>
      </c>
      <c r="B10" t="s">
        <v>40</v>
      </c>
      <c r="C10" t="s">
        <v>41</v>
      </c>
      <c r="D10">
        <v>22</v>
      </c>
      <c r="E10">
        <v>15</v>
      </c>
      <c r="F10">
        <v>0.72977999999999998</v>
      </c>
      <c r="G10">
        <v>1.8006</v>
      </c>
      <c r="H10" s="4">
        <v>2.2E-16</v>
      </c>
      <c r="I10">
        <v>1.8397E-2</v>
      </c>
      <c r="J10">
        <f t="shared" si="0"/>
        <v>1.7352529916464734</v>
      </c>
    </row>
    <row r="11" spans="1:10" x14ac:dyDescent="0.2">
      <c r="A11" t="s">
        <v>62</v>
      </c>
      <c r="B11" t="s">
        <v>94</v>
      </c>
      <c r="C11" t="s">
        <v>95</v>
      </c>
      <c r="D11">
        <v>23</v>
      </c>
      <c r="E11">
        <v>5</v>
      </c>
      <c r="F11">
        <v>0.72645000000000004</v>
      </c>
      <c r="G11">
        <v>1.8095000000000001</v>
      </c>
      <c r="H11" s="4">
        <v>2.2E-16</v>
      </c>
      <c r="I11">
        <v>1.9740000000000001E-2</v>
      </c>
      <c r="J11">
        <f t="shared" si="0"/>
        <v>1.7046528516663821</v>
      </c>
    </row>
    <row r="12" spans="1:10" x14ac:dyDescent="0.2">
      <c r="A12" t="s">
        <v>62</v>
      </c>
      <c r="B12" t="s">
        <v>46</v>
      </c>
      <c r="C12" t="s">
        <v>47</v>
      </c>
      <c r="D12">
        <v>84</v>
      </c>
      <c r="E12">
        <v>50</v>
      </c>
      <c r="F12">
        <v>0.59821999999999997</v>
      </c>
      <c r="G12">
        <v>1.8221000000000001</v>
      </c>
      <c r="H12" s="4">
        <v>2.2E-16</v>
      </c>
      <c r="I12">
        <v>2.0892999999999998E-2</v>
      </c>
      <c r="J12">
        <f t="shared" si="0"/>
        <v>1.679999195735272</v>
      </c>
    </row>
    <row r="20" spans="2:9" ht="20" x14ac:dyDescent="0.2">
      <c r="B20" s="1"/>
      <c r="C20" s="1"/>
      <c r="D20" s="1"/>
      <c r="E20" s="1"/>
      <c r="F20" s="1"/>
      <c r="G20" s="1"/>
      <c r="H20" s="1"/>
      <c r="I20" s="2"/>
    </row>
    <row r="21" spans="2:9" ht="20" x14ac:dyDescent="0.2">
      <c r="B21" s="3"/>
      <c r="C21" s="3"/>
      <c r="D21" s="3"/>
      <c r="E21" s="3"/>
      <c r="F21" s="3"/>
      <c r="G21" s="3"/>
      <c r="H21" s="3"/>
      <c r="I21" s="3"/>
    </row>
    <row r="22" spans="2:9" ht="20" x14ac:dyDescent="0.2">
      <c r="B22" s="3"/>
      <c r="C22" s="3"/>
      <c r="D22" s="3"/>
      <c r="E22" s="3"/>
      <c r="F22" s="3"/>
      <c r="G22" s="3"/>
      <c r="H22" s="3"/>
      <c r="I22" s="3"/>
    </row>
    <row r="23" spans="2:9" ht="20" x14ac:dyDescent="0.2">
      <c r="B23" s="3"/>
      <c r="C23" s="3"/>
      <c r="D23" s="3"/>
      <c r="E23" s="3"/>
      <c r="F23" s="3"/>
      <c r="G23" s="3"/>
      <c r="H23" s="3"/>
      <c r="I23" s="3"/>
    </row>
    <row r="24" spans="2:9" ht="20" x14ac:dyDescent="0.2">
      <c r="B24" s="3"/>
      <c r="C24" s="3"/>
      <c r="D24" s="3"/>
      <c r="E24" s="3"/>
      <c r="F24" s="3"/>
      <c r="G24" s="3"/>
      <c r="H24" s="3"/>
      <c r="I24" s="3"/>
    </row>
    <row r="25" spans="2:9" ht="20" x14ac:dyDescent="0.2">
      <c r="B25" s="3"/>
      <c r="C25" s="3"/>
      <c r="D25" s="3"/>
      <c r="E25" s="3"/>
      <c r="F25" s="3"/>
      <c r="G25" s="3"/>
      <c r="H25" s="3"/>
      <c r="I25" s="3"/>
    </row>
    <row r="26" spans="2:9" ht="20" x14ac:dyDescent="0.2">
      <c r="B26" s="3"/>
      <c r="C26" s="3"/>
      <c r="D26" s="3"/>
      <c r="E26" s="3"/>
      <c r="F26" s="3"/>
      <c r="G26" s="3"/>
      <c r="H26" s="3"/>
      <c r="I26" s="3"/>
    </row>
    <row r="27" spans="2:9" ht="20" x14ac:dyDescent="0.2">
      <c r="B27" s="3"/>
      <c r="C27" s="3"/>
      <c r="D27" s="3"/>
      <c r="E27" s="3"/>
      <c r="F27" s="3"/>
      <c r="G27" s="3"/>
      <c r="H27" s="3"/>
      <c r="I27" s="3"/>
    </row>
    <row r="28" spans="2:9" ht="20" x14ac:dyDescent="0.2">
      <c r="B28" s="3"/>
      <c r="C28" s="3"/>
      <c r="D28" s="3"/>
      <c r="E28" s="3"/>
      <c r="F28" s="3"/>
      <c r="G28" s="3"/>
      <c r="H28" s="3"/>
      <c r="I28" s="3"/>
    </row>
    <row r="29" spans="2:9" ht="20" x14ac:dyDescent="0.2">
      <c r="B29" s="3"/>
      <c r="C29" s="3"/>
      <c r="D29" s="3"/>
      <c r="E29" s="3"/>
      <c r="F29" s="3"/>
      <c r="G29" s="3"/>
      <c r="H29" s="3"/>
      <c r="I29" s="3"/>
    </row>
    <row r="30" spans="2:9" ht="20" x14ac:dyDescent="0.2">
      <c r="B30" s="3"/>
      <c r="C30" s="3"/>
      <c r="D30" s="3"/>
      <c r="E30" s="3"/>
      <c r="F30" s="3"/>
      <c r="G30" s="3"/>
      <c r="H30" s="3"/>
      <c r="I30" s="3"/>
    </row>
    <row r="31" spans="2:9" ht="20" x14ac:dyDescent="0.2">
      <c r="B31" s="3"/>
      <c r="C31" s="3"/>
      <c r="D31" s="3"/>
      <c r="E31" s="3"/>
      <c r="F31" s="3"/>
      <c r="G31" s="3"/>
      <c r="H31" s="3"/>
      <c r="I31" s="3"/>
    </row>
    <row r="32" spans="2:9" ht="20" x14ac:dyDescent="0.2">
      <c r="B32" s="3"/>
      <c r="C32" s="3"/>
      <c r="D32" s="3"/>
      <c r="E32" s="3"/>
      <c r="F32" s="3"/>
      <c r="G32" s="3"/>
      <c r="H32" s="3"/>
      <c r="I32" s="3"/>
    </row>
    <row r="33" spans="2:9" ht="20" x14ac:dyDescent="0.2">
      <c r="B33" s="3"/>
      <c r="C33" s="3"/>
      <c r="D33" s="3"/>
      <c r="E33" s="3"/>
      <c r="F33" s="3"/>
      <c r="G33" s="3"/>
      <c r="H33" s="3"/>
      <c r="I3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A282-D8DA-8E4B-B694-94D16DB3788D}">
  <dimension ref="A1:I8"/>
  <sheetViews>
    <sheetView workbookViewId="0">
      <selection activeCell="F24" sqref="F24"/>
    </sheetView>
  </sheetViews>
  <sheetFormatPr baseColWidth="10" defaultRowHeight="16" x14ac:dyDescent="0.2"/>
  <cols>
    <col min="2" max="2" width="8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2">
      <c r="A2" t="s">
        <v>64</v>
      </c>
      <c r="B2" t="s">
        <v>65</v>
      </c>
      <c r="C2">
        <v>59</v>
      </c>
      <c r="D2">
        <v>15</v>
      </c>
      <c r="E2">
        <v>0.76512999999999998</v>
      </c>
      <c r="F2">
        <v>2.1785000000000001</v>
      </c>
      <c r="G2" s="4">
        <v>2.2E-16</v>
      </c>
      <c r="H2" s="4">
        <v>2.2E-16</v>
      </c>
      <c r="I2">
        <f>-LOG10(H2)</f>
        <v>15.657577319177793</v>
      </c>
    </row>
    <row r="3" spans="1:9" x14ac:dyDescent="0.2">
      <c r="A3" t="s">
        <v>70</v>
      </c>
      <c r="B3" t="s">
        <v>71</v>
      </c>
      <c r="C3">
        <v>14</v>
      </c>
      <c r="D3">
        <v>8</v>
      </c>
      <c r="E3">
        <v>0.91786999999999996</v>
      </c>
      <c r="F3">
        <v>2.0911</v>
      </c>
      <c r="G3" s="4">
        <v>2.2E-16</v>
      </c>
      <c r="H3" s="4">
        <v>2.2E-16</v>
      </c>
      <c r="I3">
        <f t="shared" ref="I3:I8" si="0">-LOG10(H3)</f>
        <v>15.657577319177793</v>
      </c>
    </row>
    <row r="4" spans="1:9" x14ac:dyDescent="0.2">
      <c r="A4" t="s">
        <v>68</v>
      </c>
      <c r="B4" t="s">
        <v>69</v>
      </c>
      <c r="C4">
        <v>37</v>
      </c>
      <c r="D4">
        <v>26</v>
      </c>
      <c r="E4">
        <v>0.72411999999999999</v>
      </c>
      <c r="F4">
        <v>1.9778</v>
      </c>
      <c r="G4" s="4">
        <v>2.2E-16</v>
      </c>
      <c r="H4">
        <v>2.1053000000000001E-3</v>
      </c>
      <c r="I4">
        <f t="shared" si="0"/>
        <v>2.6766860095379337</v>
      </c>
    </row>
    <row r="5" spans="1:9" x14ac:dyDescent="0.2">
      <c r="A5" t="s">
        <v>76</v>
      </c>
      <c r="B5" t="s">
        <v>77</v>
      </c>
      <c r="C5">
        <v>31</v>
      </c>
      <c r="D5">
        <v>8</v>
      </c>
      <c r="E5">
        <v>0.74321000000000004</v>
      </c>
      <c r="F5">
        <v>1.9174</v>
      </c>
      <c r="G5" s="4">
        <v>2.2E-16</v>
      </c>
      <c r="H5">
        <v>1.7819999999999999E-2</v>
      </c>
      <c r="I5">
        <f t="shared" si="0"/>
        <v>1.7490923002991441</v>
      </c>
    </row>
    <row r="6" spans="1:9" x14ac:dyDescent="0.2">
      <c r="A6" t="s">
        <v>66</v>
      </c>
      <c r="B6" t="s">
        <v>67</v>
      </c>
      <c r="C6">
        <v>61</v>
      </c>
      <c r="D6">
        <v>45</v>
      </c>
      <c r="E6">
        <v>0.64468999999999999</v>
      </c>
      <c r="F6">
        <v>1.8874</v>
      </c>
      <c r="G6">
        <v>1.224E-3</v>
      </c>
      <c r="H6">
        <v>2.4211E-2</v>
      </c>
      <c r="I6">
        <f t="shared" si="0"/>
        <v>1.615987272288427</v>
      </c>
    </row>
    <row r="7" spans="1:9" ht="20" customHeight="1" x14ac:dyDescent="0.2">
      <c r="A7" t="s">
        <v>74</v>
      </c>
      <c r="B7" t="s">
        <v>75</v>
      </c>
      <c r="C7">
        <v>25</v>
      </c>
      <c r="D7">
        <v>7</v>
      </c>
      <c r="E7">
        <v>0.75190999999999997</v>
      </c>
      <c r="F7">
        <v>1.8895999999999999</v>
      </c>
      <c r="G7" s="4">
        <v>2.2E-16</v>
      </c>
      <c r="H7">
        <v>2.7428999999999999E-2</v>
      </c>
      <c r="I7">
        <f t="shared" si="0"/>
        <v>1.5617900255124415</v>
      </c>
    </row>
    <row r="8" spans="1:9" x14ac:dyDescent="0.2">
      <c r="A8" t="s">
        <v>72</v>
      </c>
      <c r="B8" t="s">
        <v>73</v>
      </c>
      <c r="C8">
        <v>28</v>
      </c>
      <c r="D8">
        <v>19</v>
      </c>
      <c r="E8">
        <v>0.71281000000000005</v>
      </c>
      <c r="F8">
        <v>1.8534999999999999</v>
      </c>
      <c r="G8">
        <v>1.3297999999999999E-3</v>
      </c>
      <c r="H8">
        <v>3.841E-2</v>
      </c>
      <c r="I8">
        <f t="shared" si="0"/>
        <v>1.4155556928348239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4B5E-5117-A74B-8AF4-35A2705319F8}">
  <dimension ref="A1:I7"/>
  <sheetViews>
    <sheetView workbookViewId="0">
      <selection activeCell="J34" sqref="J34"/>
    </sheetView>
  </sheetViews>
  <sheetFormatPr baseColWidth="10" defaultRowHeight="16" x14ac:dyDescent="0.2"/>
  <cols>
    <col min="2" max="2" width="8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2">
      <c r="A2" t="s">
        <v>96</v>
      </c>
      <c r="B2" t="s">
        <v>97</v>
      </c>
      <c r="C2">
        <v>63</v>
      </c>
      <c r="D2">
        <v>30</v>
      </c>
      <c r="E2">
        <v>-0.58684000000000003</v>
      </c>
      <c r="F2">
        <v>-2.1920000000000002</v>
      </c>
      <c r="G2" s="4">
        <v>2.2E-16</v>
      </c>
      <c r="H2">
        <v>8.5886999999999995E-3</v>
      </c>
      <c r="I2">
        <f t="shared" ref="I2:I7" si="0">-LOG10(H2)</f>
        <v>2.0660725667336495</v>
      </c>
    </row>
    <row r="3" spans="1:9" x14ac:dyDescent="0.2">
      <c r="A3" t="s">
        <v>98</v>
      </c>
      <c r="B3" t="s">
        <v>99</v>
      </c>
      <c r="C3">
        <v>71</v>
      </c>
      <c r="D3">
        <v>36</v>
      </c>
      <c r="E3">
        <v>-0.54913000000000001</v>
      </c>
      <c r="F3">
        <v>-2.1267</v>
      </c>
      <c r="G3" s="4">
        <v>2.2E-16</v>
      </c>
      <c r="H3">
        <v>9.5089000000000007E-3</v>
      </c>
      <c r="I3">
        <f t="shared" si="0"/>
        <v>2.0218697198197724</v>
      </c>
    </row>
    <row r="4" spans="1:9" x14ac:dyDescent="0.2">
      <c r="A4" t="s">
        <v>100</v>
      </c>
      <c r="B4" t="s">
        <v>101</v>
      </c>
      <c r="C4">
        <v>71</v>
      </c>
      <c r="D4">
        <v>36</v>
      </c>
      <c r="E4">
        <v>-0.54913000000000001</v>
      </c>
      <c r="F4">
        <v>-2.1267</v>
      </c>
      <c r="G4" s="4">
        <v>2.2E-16</v>
      </c>
      <c r="H4">
        <v>9.5089000000000007E-3</v>
      </c>
      <c r="I4">
        <f t="shared" si="0"/>
        <v>2.0218697198197724</v>
      </c>
    </row>
    <row r="5" spans="1:9" x14ac:dyDescent="0.2">
      <c r="A5" t="s">
        <v>102</v>
      </c>
      <c r="B5" t="s">
        <v>103</v>
      </c>
      <c r="C5">
        <v>59</v>
      </c>
      <c r="D5">
        <v>28</v>
      </c>
      <c r="E5">
        <v>-0.58187999999999995</v>
      </c>
      <c r="F5">
        <v>-2.1522999999999999</v>
      </c>
      <c r="G5" s="4">
        <v>2.2E-16</v>
      </c>
      <c r="H5">
        <v>1.1656E-2</v>
      </c>
      <c r="I5">
        <f t="shared" si="0"/>
        <v>1.9334504612380663</v>
      </c>
    </row>
    <row r="6" spans="1:9" x14ac:dyDescent="0.2">
      <c r="A6" t="s">
        <v>104</v>
      </c>
      <c r="B6" t="s">
        <v>105</v>
      </c>
      <c r="C6">
        <v>68</v>
      </c>
      <c r="D6">
        <v>30</v>
      </c>
      <c r="E6">
        <v>-0.54518999999999995</v>
      </c>
      <c r="F6">
        <v>-2.0489000000000002</v>
      </c>
      <c r="G6" s="4">
        <v>2.2E-16</v>
      </c>
      <c r="H6">
        <v>3.3619000000000003E-2</v>
      </c>
      <c r="I6">
        <f t="shared" si="0"/>
        <v>1.4734152088305426</v>
      </c>
    </row>
    <row r="7" spans="1:9" x14ac:dyDescent="0.2">
      <c r="A7" t="s">
        <v>106</v>
      </c>
      <c r="B7" t="s">
        <v>107</v>
      </c>
      <c r="C7">
        <v>6</v>
      </c>
      <c r="D7">
        <v>3</v>
      </c>
      <c r="E7">
        <v>-0.92417000000000005</v>
      </c>
      <c r="F7">
        <v>-2.0222000000000002</v>
      </c>
      <c r="G7" s="4">
        <v>2.2E-16</v>
      </c>
      <c r="H7">
        <v>3.7421999999999997E-2</v>
      </c>
      <c r="I7">
        <f t="shared" si="0"/>
        <v>1.4268730055652248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296F-3135-8A48-9161-4D0CDCD7B5C9}">
  <dimension ref="A1:J2"/>
  <sheetViews>
    <sheetView tabSelected="1" workbookViewId="0">
      <selection activeCell="K19" sqref="K19"/>
    </sheetView>
  </sheetViews>
  <sheetFormatPr baseColWidth="10" defaultRowHeight="16" x14ac:dyDescent="0.2"/>
  <sheetData>
    <row r="1" spans="1:10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110</v>
      </c>
    </row>
    <row r="2" spans="1:10" x14ac:dyDescent="0.2">
      <c r="A2" t="s">
        <v>62</v>
      </c>
      <c r="B2" t="s">
        <v>108</v>
      </c>
      <c r="C2" t="s">
        <v>109</v>
      </c>
      <c r="D2">
        <v>17</v>
      </c>
      <c r="E2">
        <v>13</v>
      </c>
      <c r="F2">
        <v>0.73416999999999999</v>
      </c>
      <c r="G2">
        <v>1.8957999999999999</v>
      </c>
      <c r="H2">
        <v>1.6949000000000001E-3</v>
      </c>
      <c r="I2">
        <v>2.2218000000000002E-2</v>
      </c>
      <c r="J2">
        <f t="shared" ref="J2" si="0">-LOG10(I2)</f>
        <v>1.6532950375669138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033A-0F74-8942-A7A4-93E45C5623B4}">
  <dimension ref="A1:J14"/>
  <sheetViews>
    <sheetView workbookViewId="0">
      <selection activeCell="N33" sqref="N33"/>
    </sheetView>
  </sheetViews>
  <sheetFormatPr baseColWidth="10" defaultRowHeight="16" x14ac:dyDescent="0.2"/>
  <cols>
    <col min="8" max="8" width="15" bestFit="1" customWidth="1"/>
    <col min="9" max="9" width="16.6640625" bestFit="1" customWidth="1"/>
  </cols>
  <sheetData>
    <row r="1" spans="1:10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110</v>
      </c>
    </row>
    <row r="2" spans="1:10" x14ac:dyDescent="0.2">
      <c r="A2" t="s">
        <v>38</v>
      </c>
      <c r="B2" t="s">
        <v>8</v>
      </c>
      <c r="C2" t="s">
        <v>9</v>
      </c>
      <c r="D2">
        <v>86</v>
      </c>
      <c r="E2">
        <v>13</v>
      </c>
      <c r="F2">
        <v>-0.70620000000000005</v>
      </c>
      <c r="G2">
        <v>-2.2324999999999999</v>
      </c>
      <c r="H2">
        <v>2.2E-16</v>
      </c>
      <c r="I2">
        <v>2.2E-16</v>
      </c>
      <c r="J2">
        <f>-LOG10(I2)</f>
        <v>15.657577319177793</v>
      </c>
    </row>
    <row r="3" spans="1:10" x14ac:dyDescent="0.2">
      <c r="A3" t="s">
        <v>38</v>
      </c>
      <c r="B3" t="s">
        <v>10</v>
      </c>
      <c r="C3" t="s">
        <v>11</v>
      </c>
      <c r="D3">
        <v>138</v>
      </c>
      <c r="E3">
        <v>15</v>
      </c>
      <c r="F3">
        <v>-0.69023999999999996</v>
      </c>
      <c r="G3">
        <v>-2.3845000000000001</v>
      </c>
      <c r="H3">
        <v>2.2E-16</v>
      </c>
      <c r="I3">
        <v>2.2E-16</v>
      </c>
      <c r="J3">
        <f t="shared" ref="J3:J14" si="0">-LOG10(I3)</f>
        <v>15.657577319177793</v>
      </c>
    </row>
    <row r="4" spans="1:10" x14ac:dyDescent="0.2">
      <c r="A4" t="s">
        <v>38</v>
      </c>
      <c r="B4" t="s">
        <v>12</v>
      </c>
      <c r="C4" t="s">
        <v>13</v>
      </c>
      <c r="D4">
        <v>42</v>
      </c>
      <c r="E4">
        <v>10</v>
      </c>
      <c r="F4">
        <v>-0.79508000000000001</v>
      </c>
      <c r="G4">
        <v>-2.1722999999999999</v>
      </c>
      <c r="H4">
        <v>2.2E-16</v>
      </c>
      <c r="I4">
        <v>2.4403000000000001E-4</v>
      </c>
      <c r="J4">
        <f t="shared" si="0"/>
        <v>3.6125567800810665</v>
      </c>
    </row>
    <row r="5" spans="1:10" x14ac:dyDescent="0.2">
      <c r="A5" t="s">
        <v>38</v>
      </c>
      <c r="B5" t="s">
        <v>20</v>
      </c>
      <c r="C5" t="s">
        <v>21</v>
      </c>
      <c r="D5">
        <v>77</v>
      </c>
      <c r="E5">
        <v>8</v>
      </c>
      <c r="F5">
        <v>-0.66710000000000003</v>
      </c>
      <c r="G5">
        <v>-2.0373000000000001</v>
      </c>
      <c r="H5">
        <v>2.2E-16</v>
      </c>
      <c r="I5">
        <v>2.9283E-3</v>
      </c>
      <c r="J5">
        <f t="shared" si="0"/>
        <v>2.5333844325076282</v>
      </c>
    </row>
    <row r="6" spans="1:10" x14ac:dyDescent="0.2">
      <c r="A6" t="s">
        <v>38</v>
      </c>
      <c r="B6" t="s">
        <v>16</v>
      </c>
      <c r="C6" t="s">
        <v>17</v>
      </c>
      <c r="D6">
        <v>19</v>
      </c>
      <c r="E6">
        <v>5</v>
      </c>
      <c r="F6">
        <v>-0.85241</v>
      </c>
      <c r="G6">
        <v>-1.9855</v>
      </c>
      <c r="H6">
        <v>2.2E-16</v>
      </c>
      <c r="I6">
        <v>6.2750000000000002E-3</v>
      </c>
      <c r="J6">
        <f t="shared" si="0"/>
        <v>2.2023862698469241</v>
      </c>
    </row>
    <row r="7" spans="1:10" x14ac:dyDescent="0.2">
      <c r="A7" t="s">
        <v>38</v>
      </c>
      <c r="B7" t="s">
        <v>22</v>
      </c>
      <c r="C7" t="s">
        <v>23</v>
      </c>
      <c r="D7">
        <v>124</v>
      </c>
      <c r="E7">
        <v>19</v>
      </c>
      <c r="F7">
        <v>-0.60306999999999999</v>
      </c>
      <c r="G7">
        <v>-2.0002</v>
      </c>
      <c r="H7">
        <v>2.2E-16</v>
      </c>
      <c r="I7">
        <v>6.4422999999999998E-3</v>
      </c>
      <c r="J7">
        <f t="shared" si="0"/>
        <v>2.1909590551588392</v>
      </c>
    </row>
    <row r="8" spans="1:10" x14ac:dyDescent="0.2">
      <c r="A8" t="s">
        <v>38</v>
      </c>
      <c r="B8" t="s">
        <v>24</v>
      </c>
      <c r="C8" t="s">
        <v>25</v>
      </c>
      <c r="D8">
        <v>128</v>
      </c>
      <c r="E8">
        <v>15</v>
      </c>
      <c r="F8">
        <v>-0.58677000000000001</v>
      </c>
      <c r="G8">
        <v>-1.9767999999999999</v>
      </c>
      <c r="H8">
        <v>2.2E-16</v>
      </c>
      <c r="I8">
        <v>6.6803000000000001E-3</v>
      </c>
      <c r="J8">
        <f t="shared" si="0"/>
        <v>2.1752040337192113</v>
      </c>
    </row>
    <row r="9" spans="1:10" x14ac:dyDescent="0.2">
      <c r="A9" t="s">
        <v>38</v>
      </c>
      <c r="B9" t="s">
        <v>26</v>
      </c>
      <c r="C9" t="s">
        <v>27</v>
      </c>
      <c r="D9">
        <v>105</v>
      </c>
      <c r="E9">
        <v>11</v>
      </c>
      <c r="F9">
        <v>-0.60043000000000002</v>
      </c>
      <c r="G9">
        <v>-1.9903</v>
      </c>
      <c r="H9">
        <v>2.2E-16</v>
      </c>
      <c r="I9">
        <v>6.7108000000000003E-3</v>
      </c>
      <c r="J9">
        <f t="shared" si="0"/>
        <v>2.1732257041416401</v>
      </c>
    </row>
    <row r="10" spans="1:10" x14ac:dyDescent="0.2">
      <c r="A10" t="s">
        <v>38</v>
      </c>
      <c r="B10" t="s">
        <v>28</v>
      </c>
      <c r="C10" t="s">
        <v>29</v>
      </c>
      <c r="D10">
        <v>43</v>
      </c>
      <c r="E10">
        <v>7</v>
      </c>
      <c r="F10">
        <v>-0.70430000000000004</v>
      </c>
      <c r="G10">
        <v>-1.9123000000000001</v>
      </c>
      <c r="H10">
        <v>2.2E-16</v>
      </c>
      <c r="I10">
        <v>2.2450999999999999E-2</v>
      </c>
      <c r="J10">
        <f t="shared" si="0"/>
        <v>1.6487643101257046</v>
      </c>
    </row>
    <row r="11" spans="1:10" x14ac:dyDescent="0.2">
      <c r="A11" t="s">
        <v>38</v>
      </c>
      <c r="B11" t="s">
        <v>18</v>
      </c>
      <c r="C11" t="s">
        <v>19</v>
      </c>
      <c r="D11">
        <v>54</v>
      </c>
      <c r="E11">
        <v>6</v>
      </c>
      <c r="F11">
        <v>-0.64697000000000005</v>
      </c>
      <c r="G11">
        <v>-1.8745000000000001</v>
      </c>
      <c r="H11">
        <v>4.1067999999999999E-3</v>
      </c>
      <c r="I11">
        <v>3.8142000000000002E-2</v>
      </c>
      <c r="J11">
        <f t="shared" si="0"/>
        <v>1.4185965381858994</v>
      </c>
    </row>
    <row r="12" spans="1:10" x14ac:dyDescent="0.2">
      <c r="A12" t="s">
        <v>38</v>
      </c>
      <c r="B12" t="s">
        <v>30</v>
      </c>
      <c r="C12" t="s">
        <v>31</v>
      </c>
      <c r="D12">
        <v>173</v>
      </c>
      <c r="E12">
        <v>17</v>
      </c>
      <c r="F12">
        <v>-0.52546000000000004</v>
      </c>
      <c r="G12">
        <v>-1.8622000000000001</v>
      </c>
      <c r="H12">
        <v>2.2E-16</v>
      </c>
      <c r="I12">
        <v>4.2594E-2</v>
      </c>
      <c r="J12">
        <f t="shared" si="0"/>
        <v>1.3706515734421958</v>
      </c>
    </row>
    <row r="13" spans="1:10" x14ac:dyDescent="0.2">
      <c r="A13" t="s">
        <v>62</v>
      </c>
      <c r="B13" t="s">
        <v>42</v>
      </c>
      <c r="C13" t="s">
        <v>43</v>
      </c>
      <c r="D13">
        <v>43</v>
      </c>
      <c r="E13">
        <v>9</v>
      </c>
      <c r="F13">
        <v>-0.81510000000000005</v>
      </c>
      <c r="G13">
        <v>-2.2704</v>
      </c>
      <c r="H13">
        <v>2.2E-16</v>
      </c>
      <c r="I13">
        <v>2.2E-16</v>
      </c>
      <c r="J13">
        <f t="shared" si="0"/>
        <v>15.657577319177793</v>
      </c>
    </row>
    <row r="14" spans="1:10" x14ac:dyDescent="0.2">
      <c r="A14" t="s">
        <v>62</v>
      </c>
      <c r="B14" t="s">
        <v>44</v>
      </c>
      <c r="C14" t="s">
        <v>45</v>
      </c>
      <c r="D14">
        <v>99</v>
      </c>
      <c r="E14">
        <v>16</v>
      </c>
      <c r="F14">
        <v>-0.74878</v>
      </c>
      <c r="G14">
        <v>-2.4241000000000001</v>
      </c>
      <c r="H14">
        <v>2.2E-16</v>
      </c>
      <c r="I14">
        <v>2.2E-16</v>
      </c>
      <c r="J14">
        <f t="shared" si="0"/>
        <v>15.657577319177793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FDDD-EC22-9E40-9A28-7EBD863E3AA8}">
  <dimension ref="A1:I2"/>
  <sheetViews>
    <sheetView workbookViewId="0">
      <selection activeCell="P27" sqref="P2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110</v>
      </c>
    </row>
    <row r="2" spans="1:9" x14ac:dyDescent="0.2">
      <c r="A2" t="s">
        <v>70</v>
      </c>
      <c r="B2" t="s">
        <v>71</v>
      </c>
      <c r="C2">
        <v>14</v>
      </c>
      <c r="D2">
        <v>6</v>
      </c>
      <c r="E2">
        <v>-0.93005000000000004</v>
      </c>
      <c r="F2">
        <v>-2.0954999999999999</v>
      </c>
      <c r="G2" s="4">
        <v>2.2E-16</v>
      </c>
      <c r="H2">
        <v>1.8949000000000001E-2</v>
      </c>
      <c r="I2">
        <f>-LOG10(H2)</f>
        <v>1.7224137042152368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 bottom &lt; central</vt:lpstr>
      <vt:lpstr>Reactome bottom &lt; central</vt:lpstr>
      <vt:lpstr>GO bottom &lt; peri</vt:lpstr>
      <vt:lpstr>GO central &gt; top</vt:lpstr>
      <vt:lpstr>Reactome central &gt; top</vt:lpstr>
      <vt:lpstr>Reactome central &lt; top</vt:lpstr>
      <vt:lpstr>GO peri &gt; top</vt:lpstr>
      <vt:lpstr>GO peri &lt; top</vt:lpstr>
      <vt:lpstr>Reactome peri &lt; 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Wang</dc:creator>
  <cp:lastModifiedBy>e67092</cp:lastModifiedBy>
  <dcterms:created xsi:type="dcterms:W3CDTF">2025-12-12T19:40:34Z</dcterms:created>
  <dcterms:modified xsi:type="dcterms:W3CDTF">2026-10-15T18:45:00Z</dcterms:modified>
</cp:coreProperties>
</file>