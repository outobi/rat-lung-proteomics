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T:\Proteomics_Data_Analysis\Fei\UW madison rat region age and sex proteomics\paper analysis\final analysis\single factor\"/>
    </mc:Choice>
  </mc:AlternateContent>
  <xr:revisionPtr revIDLastSave="0" documentId="13_ncr:1_{3B044607-6F5E-4E93-BD91-DFB8975BDEED}" xr6:coauthVersionLast="47" xr6:coauthVersionMax="47" xr10:uidLastSave="{00000000-0000-0000-0000-000000000000}"/>
  <bookViews>
    <workbookView xWindow="-108" yWindow="-108" windowWidth="23256" windowHeight="13896" xr2:uid="{660A23B4-67C1-4BCA-B8AE-ADAB9C846779}"/>
  </bookViews>
  <sheets>
    <sheet name="Reactome" sheetId="1" r:id="rId1"/>
    <sheet name="GO BP" sheetId="2" r:id="rId2"/>
    <sheet name="GO CC" sheetId="3" r:id="rId3"/>
    <sheet name="GO MF" sheetId="4" r:id="rId4"/>
    <sheet name="GO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2" i="1"/>
  <c r="J23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" i="5"/>
  <c r="I3" i="2"/>
  <c r="I4" i="2"/>
  <c r="I5" i="2"/>
  <c r="I6" i="2"/>
  <c r="I7" i="2"/>
  <c r="I8" i="2"/>
  <c r="I9" i="2"/>
  <c r="I10" i="2"/>
  <c r="I11" i="2"/>
  <c r="I12" i="2"/>
  <c r="I13" i="2"/>
  <c r="I14" i="2"/>
  <c r="I15" i="2"/>
  <c r="I2" i="2"/>
</calcChain>
</file>

<file path=xl/sharedStrings.xml><?xml version="1.0" encoding="utf-8"?>
<sst xmlns="http://schemas.openxmlformats.org/spreadsheetml/2006/main" count="209" uniqueCount="70">
  <si>
    <t>GO</t>
  </si>
  <si>
    <t>Gene Set</t>
  </si>
  <si>
    <t>Description</t>
  </si>
  <si>
    <t>Size</t>
  </si>
  <si>
    <t>Leading Edge Number</t>
  </si>
  <si>
    <t>ES</t>
  </si>
  <si>
    <t>NES</t>
  </si>
  <si>
    <t>P Value</t>
  </si>
  <si>
    <t>FDR</t>
  </si>
  <si>
    <t>GO:0030048</t>
  </si>
  <si>
    <t>actin filament-based movement</t>
  </si>
  <si>
    <t>&lt;2.2e-16</t>
  </si>
  <si>
    <t>GO:0007517</t>
  </si>
  <si>
    <t>muscle organ development</t>
  </si>
  <si>
    <t>GO:0003012</t>
  </si>
  <si>
    <t>muscle system process</t>
  </si>
  <si>
    <t>GO:0044057</t>
  </si>
  <si>
    <t>regulation of system process</t>
  </si>
  <si>
    <t>GO:0050879</t>
  </si>
  <si>
    <t>multicellular organismal movement</t>
  </si>
  <si>
    <t>GO:0140694</t>
  </si>
  <si>
    <t>non-membrane-bounded organelle assembly</t>
  </si>
  <si>
    <t>GO:0010927</t>
  </si>
  <si>
    <t>cellular component assembly involved in morphogenesis</t>
  </si>
  <si>
    <t>GO:0031032</t>
  </si>
  <si>
    <t>actomyosin structure organization</t>
  </si>
  <si>
    <t>GO:0003205</t>
  </si>
  <si>
    <t>cardiac chamber development</t>
  </si>
  <si>
    <t>GO:0042692</t>
  </si>
  <si>
    <t>muscle cell differentiation</t>
  </si>
  <si>
    <t>GO:0050905</t>
  </si>
  <si>
    <t>neuromuscular process</t>
  </si>
  <si>
    <t>GO:0003013</t>
  </si>
  <si>
    <t>circulatory system process</t>
  </si>
  <si>
    <t>GO:0003007</t>
  </si>
  <si>
    <t>heart morphogenesis</t>
  </si>
  <si>
    <t>GO:0060537</t>
  </si>
  <si>
    <t>muscle tissue development</t>
  </si>
  <si>
    <t>GO:0016528</t>
  </si>
  <si>
    <t>sarcoplasm</t>
  </si>
  <si>
    <t>GO:0043292</t>
  </si>
  <si>
    <t>contractile fiber</t>
  </si>
  <si>
    <t>GO:0098798</t>
  </si>
  <si>
    <t>mitochondrial protein-containing complex</t>
  </si>
  <si>
    <t>GO:0070469</t>
  </si>
  <si>
    <t>respirasome</t>
  </si>
  <si>
    <t>GO:0031966</t>
  </si>
  <si>
    <t>mitochondrial membrane</t>
  </si>
  <si>
    <t>GO:0019866</t>
  </si>
  <si>
    <t>organelle inner membrane</t>
  </si>
  <si>
    <t>GO:1990204</t>
  </si>
  <si>
    <t>oxidoreductase complex</t>
  </si>
  <si>
    <t>GO:0003774</t>
  </si>
  <si>
    <t>cytoskeletal motor activity</t>
  </si>
  <si>
    <t>BP</t>
  </si>
  <si>
    <t>CC</t>
  </si>
  <si>
    <t>MF</t>
  </si>
  <si>
    <t>Log10(FDR)</t>
  </si>
  <si>
    <t>R-RNO-1428517</t>
  </si>
  <si>
    <t>The citric acid (TCA) cycle and respiratory electron transport</t>
  </si>
  <si>
    <t>R-RNO-397014</t>
  </si>
  <si>
    <t>Muscle contraction</t>
  </si>
  <si>
    <t>R-RNO-163200</t>
  </si>
  <si>
    <t>Respiratory electron transport, ATP synthesis by chemiosmotic coupling, and heat production by uncoupling proteins.</t>
  </si>
  <si>
    <t>R-RNO-611105</t>
  </si>
  <si>
    <t>Respiratory electron transport</t>
  </si>
  <si>
    <t>R-RNO-5578775</t>
  </si>
  <si>
    <t>Ion homeostasis</t>
  </si>
  <si>
    <t>R-RNO-390522</t>
  </si>
  <si>
    <t>Striated Muscle Contraction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</si>
</sst>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413EB-FBA2-4E25-A1EF-ACAA355DCF62}">
  <dimension ref="A1:I7"/>
  <sheetViews>
    <sheetView tabSelected="1" workbookViewId="0">
      <selection activeCell="J11" sqref="J11"/>
    </sheetView>
  </sheetViews>
  <sheetFormatPr defaultRowHeight="14.4" x14ac:dyDescent="0.3"/>
  <sheetData>
    <row r="1" spans="1:9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57</v>
      </c>
    </row>
    <row r="2" spans="1:9" x14ac:dyDescent="0.3">
      <c r="A2" t="s">
        <v>58</v>
      </c>
      <c r="B2" t="s">
        <v>59</v>
      </c>
      <c r="C2">
        <v>61</v>
      </c>
      <c r="D2">
        <v>38</v>
      </c>
      <c r="E2">
        <v>-0.78556000000000004</v>
      </c>
      <c r="F2">
        <v>-2.1030000000000002</v>
      </c>
      <c r="G2" t="s">
        <v>11</v>
      </c>
      <c r="H2">
        <v>3.6286000000000001E-3</v>
      </c>
      <c r="I2">
        <f>-LOG10(H2)</f>
        <v>2.440260903766192</v>
      </c>
    </row>
    <row r="3" spans="1:9" x14ac:dyDescent="0.3">
      <c r="A3" t="s">
        <v>60</v>
      </c>
      <c r="B3" t="s">
        <v>61</v>
      </c>
      <c r="C3">
        <v>59</v>
      </c>
      <c r="D3">
        <v>9</v>
      </c>
      <c r="E3">
        <v>-0.77061999999999997</v>
      </c>
      <c r="F3">
        <v>-2.0554000000000001</v>
      </c>
      <c r="G3" t="s">
        <v>11</v>
      </c>
      <c r="H3">
        <v>5.2413E-3</v>
      </c>
      <c r="I3">
        <f t="shared" ref="I3:I8" si="0">-LOG10(H3)</f>
        <v>2.2805609815651424</v>
      </c>
    </row>
    <row r="4" spans="1:9" x14ac:dyDescent="0.3">
      <c r="A4" t="s">
        <v>62</v>
      </c>
      <c r="B4" t="s">
        <v>63</v>
      </c>
      <c r="C4">
        <v>37</v>
      </c>
      <c r="D4">
        <v>25</v>
      </c>
      <c r="E4">
        <v>-0.80957999999999997</v>
      </c>
      <c r="F4">
        <v>-2.0695999999999999</v>
      </c>
      <c r="G4">
        <v>1.7036E-3</v>
      </c>
      <c r="H4">
        <v>5.4428999999999996E-3</v>
      </c>
      <c r="I4">
        <f t="shared" si="0"/>
        <v>2.2641696447105106</v>
      </c>
    </row>
    <row r="5" spans="1:9" x14ac:dyDescent="0.3">
      <c r="A5" t="s">
        <v>64</v>
      </c>
      <c r="B5" t="s">
        <v>65</v>
      </c>
      <c r="C5">
        <v>28</v>
      </c>
      <c r="D5">
        <v>18</v>
      </c>
      <c r="E5">
        <v>-0.81242999999999999</v>
      </c>
      <c r="F5">
        <v>-2.0118999999999998</v>
      </c>
      <c r="G5">
        <v>5.4446E-3</v>
      </c>
      <c r="H5">
        <v>7.3781999999999997E-3</v>
      </c>
      <c r="I5">
        <f t="shared" si="0"/>
        <v>2.1320495765801923</v>
      </c>
    </row>
    <row r="6" spans="1:9" x14ac:dyDescent="0.3">
      <c r="A6" t="s">
        <v>66</v>
      </c>
      <c r="B6" t="s">
        <v>67</v>
      </c>
      <c r="C6">
        <v>25</v>
      </c>
      <c r="D6">
        <v>5</v>
      </c>
      <c r="E6">
        <v>-0.85211000000000003</v>
      </c>
      <c r="F6">
        <v>-2.0133000000000001</v>
      </c>
      <c r="G6">
        <v>3.5777999999999999E-3</v>
      </c>
      <c r="H6">
        <v>8.6178999999999995E-3</v>
      </c>
      <c r="I6">
        <f t="shared" si="0"/>
        <v>2.0645985496651682</v>
      </c>
    </row>
    <row r="7" spans="1:9" x14ac:dyDescent="0.3">
      <c r="A7" t="s">
        <v>68</v>
      </c>
      <c r="B7" t="s">
        <v>69</v>
      </c>
      <c r="C7">
        <v>14</v>
      </c>
      <c r="D7">
        <v>5</v>
      </c>
      <c r="E7">
        <v>-0.91501999999999994</v>
      </c>
      <c r="F7">
        <v>-1.9751000000000001</v>
      </c>
      <c r="G7" t="s">
        <v>11</v>
      </c>
      <c r="H7">
        <v>1.4817E-2</v>
      </c>
      <c r="I7">
        <f t="shared" si="0"/>
        <v>1.8292397191187892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E97F3-1A2C-4E94-A369-A841C47AC8D9}">
  <dimension ref="A1:I15"/>
  <sheetViews>
    <sheetView workbookViewId="0">
      <selection activeCell="I1" sqref="I1:I15"/>
    </sheetView>
  </sheetViews>
  <sheetFormatPr defaultRowHeight="14.4" x14ac:dyDescent="0.3"/>
  <sheetData>
    <row r="1" spans="1:9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57</v>
      </c>
    </row>
    <row r="2" spans="1:9" x14ac:dyDescent="0.3">
      <c r="A2" t="s">
        <v>9</v>
      </c>
      <c r="B2" t="s">
        <v>10</v>
      </c>
      <c r="C2">
        <v>43</v>
      </c>
      <c r="D2">
        <v>10</v>
      </c>
      <c r="E2">
        <v>-0.84931999999999996</v>
      </c>
      <c r="F2">
        <v>-2.1450999999999998</v>
      </c>
      <c r="G2" t="s">
        <v>11</v>
      </c>
      <c r="H2" s="1">
        <v>2.2E-16</v>
      </c>
      <c r="I2">
        <f>-LOG10(H2)</f>
        <v>15.657577319177793</v>
      </c>
    </row>
    <row r="3" spans="1:9" x14ac:dyDescent="0.3">
      <c r="A3" t="s">
        <v>12</v>
      </c>
      <c r="B3" t="s">
        <v>13</v>
      </c>
      <c r="C3">
        <v>86</v>
      </c>
      <c r="D3">
        <v>11</v>
      </c>
      <c r="E3">
        <v>-0.78895999999999999</v>
      </c>
      <c r="F3">
        <v>-2.1937000000000002</v>
      </c>
      <c r="G3" t="s">
        <v>11</v>
      </c>
      <c r="H3" s="1">
        <v>2.2E-16</v>
      </c>
      <c r="I3">
        <f t="shared" ref="I3:I15" si="0">-LOG10(H3)</f>
        <v>15.657577319177793</v>
      </c>
    </row>
    <row r="4" spans="1:9" x14ac:dyDescent="0.3">
      <c r="A4" t="s">
        <v>14</v>
      </c>
      <c r="B4" t="s">
        <v>15</v>
      </c>
      <c r="C4">
        <v>138</v>
      </c>
      <c r="D4">
        <v>17</v>
      </c>
      <c r="E4">
        <v>-0.76543000000000005</v>
      </c>
      <c r="F4">
        <v>-2.3115999999999999</v>
      </c>
      <c r="G4" t="s">
        <v>11</v>
      </c>
      <c r="H4" s="1">
        <v>2.2E-16</v>
      </c>
      <c r="I4">
        <f t="shared" si="0"/>
        <v>15.657577319177793</v>
      </c>
    </row>
    <row r="5" spans="1:9" x14ac:dyDescent="0.3">
      <c r="A5" t="s">
        <v>16</v>
      </c>
      <c r="B5" t="s">
        <v>17</v>
      </c>
      <c r="C5">
        <v>173</v>
      </c>
      <c r="D5">
        <v>18</v>
      </c>
      <c r="E5">
        <v>-0.67920000000000003</v>
      </c>
      <c r="F5">
        <v>-2.0758999999999999</v>
      </c>
      <c r="G5" t="s">
        <v>11</v>
      </c>
      <c r="H5">
        <v>3.2164999999999998E-4</v>
      </c>
      <c r="I5">
        <f t="shared" si="0"/>
        <v>3.492616444263613</v>
      </c>
    </row>
    <row r="6" spans="1:9" x14ac:dyDescent="0.3">
      <c r="A6" t="s">
        <v>18</v>
      </c>
      <c r="B6" t="s">
        <v>19</v>
      </c>
      <c r="C6">
        <v>19</v>
      </c>
      <c r="D6">
        <v>5</v>
      </c>
      <c r="E6">
        <v>-0.92476999999999998</v>
      </c>
      <c r="F6">
        <v>-2.0680000000000001</v>
      </c>
      <c r="G6" t="s">
        <v>11</v>
      </c>
      <c r="H6">
        <v>3.6759999999999999E-4</v>
      </c>
      <c r="I6">
        <f t="shared" si="0"/>
        <v>3.4346244972859266</v>
      </c>
    </row>
    <row r="7" spans="1:9" x14ac:dyDescent="0.3">
      <c r="A7" t="s">
        <v>20</v>
      </c>
      <c r="B7" t="s">
        <v>21</v>
      </c>
      <c r="C7">
        <v>105</v>
      </c>
      <c r="D7">
        <v>8</v>
      </c>
      <c r="E7">
        <v>-0.70672000000000001</v>
      </c>
      <c r="F7">
        <v>-2.0832000000000002</v>
      </c>
      <c r="G7" t="s">
        <v>11</v>
      </c>
      <c r="H7">
        <v>3.8597000000000002E-4</v>
      </c>
      <c r="I7">
        <f t="shared" si="0"/>
        <v>3.4134464500971187</v>
      </c>
    </row>
    <row r="8" spans="1:9" x14ac:dyDescent="0.3">
      <c r="A8" t="s">
        <v>22</v>
      </c>
      <c r="B8" t="s">
        <v>23</v>
      </c>
      <c r="C8">
        <v>42</v>
      </c>
      <c r="D8">
        <v>9</v>
      </c>
      <c r="E8">
        <v>-0.83679000000000003</v>
      </c>
      <c r="F8">
        <v>-2.0865999999999998</v>
      </c>
      <c r="G8" t="s">
        <v>11</v>
      </c>
      <c r="H8">
        <v>4.8246999999999998E-4</v>
      </c>
      <c r="I8">
        <f t="shared" si="0"/>
        <v>3.3165296859254019</v>
      </c>
    </row>
    <row r="9" spans="1:9" x14ac:dyDescent="0.3">
      <c r="A9" t="s">
        <v>24</v>
      </c>
      <c r="B9" t="s">
        <v>25</v>
      </c>
      <c r="C9">
        <v>77</v>
      </c>
      <c r="D9">
        <v>8</v>
      </c>
      <c r="E9">
        <v>-0.74883</v>
      </c>
      <c r="F9">
        <v>-2.0402999999999998</v>
      </c>
      <c r="G9" t="s">
        <v>11</v>
      </c>
      <c r="H9">
        <v>7.1476999999999999E-4</v>
      </c>
      <c r="I9">
        <f t="shared" si="0"/>
        <v>3.1458336837935246</v>
      </c>
    </row>
    <row r="10" spans="1:9" x14ac:dyDescent="0.3">
      <c r="A10" t="s">
        <v>26</v>
      </c>
      <c r="B10" t="s">
        <v>27</v>
      </c>
      <c r="C10">
        <v>43</v>
      </c>
      <c r="D10">
        <v>7</v>
      </c>
      <c r="E10">
        <v>-0.79927999999999999</v>
      </c>
      <c r="F10">
        <v>-2.0407999999999999</v>
      </c>
      <c r="G10" t="s">
        <v>11</v>
      </c>
      <c r="H10">
        <v>8.0411000000000002E-4</v>
      </c>
      <c r="I10">
        <f t="shared" si="0"/>
        <v>3.0946845369166041</v>
      </c>
    </row>
    <row r="11" spans="1:9" x14ac:dyDescent="0.3">
      <c r="A11" t="s">
        <v>28</v>
      </c>
      <c r="B11" t="s">
        <v>29</v>
      </c>
      <c r="C11">
        <v>124</v>
      </c>
      <c r="D11">
        <v>13</v>
      </c>
      <c r="E11">
        <v>-0.68479999999999996</v>
      </c>
      <c r="F11">
        <v>-2.0249000000000001</v>
      </c>
      <c r="G11" t="s">
        <v>11</v>
      </c>
      <c r="H11">
        <v>1.0935999999999999E-3</v>
      </c>
      <c r="I11">
        <f t="shared" si="0"/>
        <v>2.961141498440234</v>
      </c>
    </row>
    <row r="12" spans="1:9" x14ac:dyDescent="0.3">
      <c r="A12" t="s">
        <v>30</v>
      </c>
      <c r="B12" t="s">
        <v>31</v>
      </c>
      <c r="C12">
        <v>54</v>
      </c>
      <c r="D12">
        <v>6</v>
      </c>
      <c r="E12">
        <v>-0.77722000000000002</v>
      </c>
      <c r="F12">
        <v>-2.0108000000000001</v>
      </c>
      <c r="G12">
        <v>1.6180999999999999E-3</v>
      </c>
      <c r="H12">
        <v>1.7543999999999999E-3</v>
      </c>
      <c r="I12">
        <f t="shared" si="0"/>
        <v>2.7558713813305333</v>
      </c>
    </row>
    <row r="13" spans="1:9" x14ac:dyDescent="0.3">
      <c r="A13" t="s">
        <v>32</v>
      </c>
      <c r="B13" t="s">
        <v>33</v>
      </c>
      <c r="C13">
        <v>171</v>
      </c>
      <c r="D13">
        <v>17</v>
      </c>
      <c r="E13">
        <v>-0.65937000000000001</v>
      </c>
      <c r="F13">
        <v>-2.0017999999999998</v>
      </c>
      <c r="G13" t="s">
        <v>11</v>
      </c>
      <c r="H13">
        <v>2.0907E-3</v>
      </c>
      <c r="I13">
        <f t="shared" si="0"/>
        <v>2.6797082807604395</v>
      </c>
    </row>
    <row r="14" spans="1:9" x14ac:dyDescent="0.3">
      <c r="A14" t="s">
        <v>34</v>
      </c>
      <c r="B14" t="s">
        <v>35</v>
      </c>
      <c r="C14">
        <v>67</v>
      </c>
      <c r="D14">
        <v>7</v>
      </c>
      <c r="E14">
        <v>-0.72989999999999999</v>
      </c>
      <c r="F14">
        <v>-1.9365000000000001</v>
      </c>
      <c r="G14">
        <v>1.5479999999999999E-3</v>
      </c>
      <c r="H14">
        <v>1.1233E-2</v>
      </c>
      <c r="I14">
        <f t="shared" si="0"/>
        <v>1.949504241116145</v>
      </c>
    </row>
    <row r="15" spans="1:9" x14ac:dyDescent="0.3">
      <c r="A15" t="s">
        <v>36</v>
      </c>
      <c r="B15" t="s">
        <v>37</v>
      </c>
      <c r="C15">
        <v>128</v>
      </c>
      <c r="D15">
        <v>12</v>
      </c>
      <c r="E15">
        <v>-0.65203</v>
      </c>
      <c r="F15">
        <v>-1.8984000000000001</v>
      </c>
      <c r="G15" t="s">
        <v>11</v>
      </c>
      <c r="H15">
        <v>2.1780000000000001E-2</v>
      </c>
      <c r="I15">
        <f t="shared" si="0"/>
        <v>1.6619421245802439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94077-B433-4F09-8663-2957B1BFC9ED}">
  <dimension ref="A1:H8"/>
  <sheetViews>
    <sheetView workbookViewId="0">
      <selection sqref="A1:H8"/>
    </sheetView>
  </sheetViews>
  <sheetFormatPr defaultRowHeight="14.4" x14ac:dyDescent="0.3"/>
  <sheetData>
    <row r="1" spans="1:8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8" x14ac:dyDescent="0.3">
      <c r="A2" t="s">
        <v>38</v>
      </c>
      <c r="B2" t="s">
        <v>39</v>
      </c>
      <c r="C2">
        <v>43</v>
      </c>
      <c r="D2">
        <v>10</v>
      </c>
      <c r="E2">
        <v>-0.86645000000000005</v>
      </c>
      <c r="F2">
        <v>-2.1640999999999999</v>
      </c>
      <c r="G2" t="s">
        <v>11</v>
      </c>
      <c r="H2" t="s">
        <v>11</v>
      </c>
    </row>
    <row r="3" spans="1:8" x14ac:dyDescent="0.3">
      <c r="A3" t="s">
        <v>40</v>
      </c>
      <c r="B3" t="s">
        <v>41</v>
      </c>
      <c r="C3">
        <v>99</v>
      </c>
      <c r="D3">
        <v>16</v>
      </c>
      <c r="E3">
        <v>-0.80462999999999996</v>
      </c>
      <c r="F3">
        <v>-2.2703000000000002</v>
      </c>
      <c r="G3" t="s">
        <v>11</v>
      </c>
      <c r="H3" t="s">
        <v>11</v>
      </c>
    </row>
    <row r="4" spans="1:8" x14ac:dyDescent="0.3">
      <c r="A4" t="s">
        <v>42</v>
      </c>
      <c r="B4" t="s">
        <v>43</v>
      </c>
      <c r="C4">
        <v>84</v>
      </c>
      <c r="D4">
        <v>56</v>
      </c>
      <c r="E4">
        <v>-0.72292999999999996</v>
      </c>
      <c r="F4">
        <v>-2.0478000000000001</v>
      </c>
      <c r="G4" t="s">
        <v>11</v>
      </c>
      <c r="H4">
        <v>8.0531000000000005E-4</v>
      </c>
    </row>
    <row r="5" spans="1:8" x14ac:dyDescent="0.3">
      <c r="A5" t="s">
        <v>44</v>
      </c>
      <c r="B5" t="s">
        <v>45</v>
      </c>
      <c r="C5">
        <v>22</v>
      </c>
      <c r="D5">
        <v>21</v>
      </c>
      <c r="E5">
        <v>-0.83552000000000004</v>
      </c>
      <c r="F5">
        <v>-1.9489000000000001</v>
      </c>
      <c r="G5" t="s">
        <v>11</v>
      </c>
      <c r="H5">
        <v>6.4425000000000003E-3</v>
      </c>
    </row>
    <row r="6" spans="1:8" x14ac:dyDescent="0.3">
      <c r="A6" t="s">
        <v>46</v>
      </c>
      <c r="B6" t="s">
        <v>47</v>
      </c>
      <c r="C6">
        <v>214</v>
      </c>
      <c r="D6">
        <v>101</v>
      </c>
      <c r="E6">
        <v>-0.61307</v>
      </c>
      <c r="F6">
        <v>-1.9206000000000001</v>
      </c>
      <c r="G6" t="s">
        <v>11</v>
      </c>
      <c r="H6">
        <v>1.2563E-2</v>
      </c>
    </row>
    <row r="7" spans="1:8" x14ac:dyDescent="0.3">
      <c r="A7" t="s">
        <v>48</v>
      </c>
      <c r="B7" t="s">
        <v>49</v>
      </c>
      <c r="C7">
        <v>135</v>
      </c>
      <c r="D7">
        <v>72</v>
      </c>
      <c r="E7">
        <v>-0.63892000000000004</v>
      </c>
      <c r="F7">
        <v>-1.9089</v>
      </c>
      <c r="G7" t="s">
        <v>11</v>
      </c>
      <c r="H7">
        <v>1.3422E-2</v>
      </c>
    </row>
    <row r="8" spans="1:8" x14ac:dyDescent="0.3">
      <c r="A8" t="s">
        <v>50</v>
      </c>
      <c r="B8" t="s">
        <v>51</v>
      </c>
      <c r="C8">
        <v>42</v>
      </c>
      <c r="D8">
        <v>35</v>
      </c>
      <c r="E8">
        <v>-0.73934999999999995</v>
      </c>
      <c r="F8">
        <v>-1.8560000000000001</v>
      </c>
      <c r="G8">
        <v>3.3278000000000001E-3</v>
      </c>
      <c r="H8">
        <v>2.9912000000000001E-2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87FBA-1BFE-4B68-9BD8-A28B7C9D2659}">
  <dimension ref="A1:H2"/>
  <sheetViews>
    <sheetView workbookViewId="0">
      <selection activeCell="A2" sqref="A2:H2"/>
    </sheetView>
  </sheetViews>
  <sheetFormatPr defaultRowHeight="14.4" x14ac:dyDescent="0.3"/>
  <sheetData>
    <row r="1" spans="1:8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8" x14ac:dyDescent="0.3">
      <c r="A2" t="s">
        <v>52</v>
      </c>
      <c r="B2" t="s">
        <v>53</v>
      </c>
      <c r="C2">
        <v>20</v>
      </c>
      <c r="D2">
        <v>4</v>
      </c>
      <c r="E2">
        <v>-0.90422000000000002</v>
      </c>
      <c r="F2">
        <v>-2.0264000000000002</v>
      </c>
      <c r="G2" t="s">
        <v>11</v>
      </c>
      <c r="H2">
        <v>1.0923E-2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B7E0C-BED3-4DCE-B12B-C0E0A708B461}">
  <dimension ref="A1:J23"/>
  <sheetViews>
    <sheetView workbookViewId="0">
      <selection activeCell="J1" sqref="J1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57</v>
      </c>
    </row>
    <row r="2" spans="1:10" x14ac:dyDescent="0.3">
      <c r="A2" t="s">
        <v>54</v>
      </c>
      <c r="B2" t="s">
        <v>9</v>
      </c>
      <c r="C2" t="s">
        <v>10</v>
      </c>
      <c r="D2">
        <v>43</v>
      </c>
      <c r="E2">
        <v>10</v>
      </c>
      <c r="F2">
        <v>-0.84931999999999996</v>
      </c>
      <c r="G2">
        <v>-2.1450999999999998</v>
      </c>
      <c r="H2" t="s">
        <v>11</v>
      </c>
      <c r="I2" s="1">
        <v>2.2E-16</v>
      </c>
      <c r="J2">
        <f>-LOG10(I2)</f>
        <v>15.657577319177793</v>
      </c>
    </row>
    <row r="3" spans="1:10" x14ac:dyDescent="0.3">
      <c r="A3" t="s">
        <v>54</v>
      </c>
      <c r="B3" t="s">
        <v>12</v>
      </c>
      <c r="C3" t="s">
        <v>13</v>
      </c>
      <c r="D3">
        <v>86</v>
      </c>
      <c r="E3">
        <v>11</v>
      </c>
      <c r="F3">
        <v>-0.78895999999999999</v>
      </c>
      <c r="G3">
        <v>-2.1937000000000002</v>
      </c>
      <c r="H3" t="s">
        <v>11</v>
      </c>
      <c r="I3" s="1">
        <v>2.2E-16</v>
      </c>
      <c r="J3">
        <f t="shared" ref="J3:J22" si="0">-LOG10(I3)</f>
        <v>15.657577319177793</v>
      </c>
    </row>
    <row r="4" spans="1:10" x14ac:dyDescent="0.3">
      <c r="A4" t="s">
        <v>54</v>
      </c>
      <c r="B4" t="s">
        <v>14</v>
      </c>
      <c r="C4" t="s">
        <v>15</v>
      </c>
      <c r="D4">
        <v>138</v>
      </c>
      <c r="E4">
        <v>17</v>
      </c>
      <c r="F4">
        <v>-0.76543000000000005</v>
      </c>
      <c r="G4">
        <v>-2.3115999999999999</v>
      </c>
      <c r="H4" t="s">
        <v>11</v>
      </c>
      <c r="I4" s="1">
        <v>2.2E-16</v>
      </c>
      <c r="J4">
        <f t="shared" si="0"/>
        <v>15.657577319177793</v>
      </c>
    </row>
    <row r="5" spans="1:10" x14ac:dyDescent="0.3">
      <c r="A5" t="s">
        <v>54</v>
      </c>
      <c r="B5" t="s">
        <v>16</v>
      </c>
      <c r="C5" t="s">
        <v>17</v>
      </c>
      <c r="D5">
        <v>173</v>
      </c>
      <c r="E5">
        <v>18</v>
      </c>
      <c r="F5">
        <v>-0.67920000000000003</v>
      </c>
      <c r="G5">
        <v>-2.0758999999999999</v>
      </c>
      <c r="H5" t="s">
        <v>11</v>
      </c>
      <c r="I5">
        <v>3.2164999999999998E-4</v>
      </c>
      <c r="J5">
        <f t="shared" si="0"/>
        <v>3.492616444263613</v>
      </c>
    </row>
    <row r="6" spans="1:10" x14ac:dyDescent="0.3">
      <c r="A6" t="s">
        <v>54</v>
      </c>
      <c r="B6" t="s">
        <v>18</v>
      </c>
      <c r="C6" t="s">
        <v>19</v>
      </c>
      <c r="D6">
        <v>19</v>
      </c>
      <c r="E6">
        <v>5</v>
      </c>
      <c r="F6">
        <v>-0.92476999999999998</v>
      </c>
      <c r="G6">
        <v>-2.0680000000000001</v>
      </c>
      <c r="H6" t="s">
        <v>11</v>
      </c>
      <c r="I6">
        <v>3.6759999999999999E-4</v>
      </c>
      <c r="J6">
        <f t="shared" si="0"/>
        <v>3.4346244972859266</v>
      </c>
    </row>
    <row r="7" spans="1:10" x14ac:dyDescent="0.3">
      <c r="A7" t="s">
        <v>54</v>
      </c>
      <c r="B7" t="s">
        <v>20</v>
      </c>
      <c r="C7" t="s">
        <v>21</v>
      </c>
      <c r="D7">
        <v>105</v>
      </c>
      <c r="E7">
        <v>8</v>
      </c>
      <c r="F7">
        <v>-0.70672000000000001</v>
      </c>
      <c r="G7">
        <v>-2.0832000000000002</v>
      </c>
      <c r="H7" t="s">
        <v>11</v>
      </c>
      <c r="I7">
        <v>3.8597000000000002E-4</v>
      </c>
      <c r="J7">
        <f t="shared" si="0"/>
        <v>3.4134464500971187</v>
      </c>
    </row>
    <row r="8" spans="1:10" x14ac:dyDescent="0.3">
      <c r="A8" t="s">
        <v>54</v>
      </c>
      <c r="B8" t="s">
        <v>22</v>
      </c>
      <c r="C8" t="s">
        <v>23</v>
      </c>
      <c r="D8">
        <v>42</v>
      </c>
      <c r="E8">
        <v>9</v>
      </c>
      <c r="F8">
        <v>-0.83679000000000003</v>
      </c>
      <c r="G8">
        <v>-2.0865999999999998</v>
      </c>
      <c r="H8" t="s">
        <v>11</v>
      </c>
      <c r="I8">
        <v>4.8246999999999998E-4</v>
      </c>
      <c r="J8">
        <f t="shared" si="0"/>
        <v>3.3165296859254019</v>
      </c>
    </row>
    <row r="9" spans="1:10" x14ac:dyDescent="0.3">
      <c r="A9" t="s">
        <v>54</v>
      </c>
      <c r="B9" t="s">
        <v>24</v>
      </c>
      <c r="C9" t="s">
        <v>25</v>
      </c>
      <c r="D9">
        <v>77</v>
      </c>
      <c r="E9">
        <v>8</v>
      </c>
      <c r="F9">
        <v>-0.74883</v>
      </c>
      <c r="G9">
        <v>-2.0402999999999998</v>
      </c>
      <c r="H9" t="s">
        <v>11</v>
      </c>
      <c r="I9">
        <v>7.1476999999999999E-4</v>
      </c>
      <c r="J9">
        <f t="shared" si="0"/>
        <v>3.1458336837935246</v>
      </c>
    </row>
    <row r="10" spans="1:10" x14ac:dyDescent="0.3">
      <c r="A10" t="s">
        <v>54</v>
      </c>
      <c r="B10" t="s">
        <v>26</v>
      </c>
      <c r="C10" t="s">
        <v>27</v>
      </c>
      <c r="D10">
        <v>43</v>
      </c>
      <c r="E10">
        <v>7</v>
      </c>
      <c r="F10">
        <v>-0.79927999999999999</v>
      </c>
      <c r="G10">
        <v>-2.0407999999999999</v>
      </c>
      <c r="H10" t="s">
        <v>11</v>
      </c>
      <c r="I10">
        <v>8.0411000000000002E-4</v>
      </c>
      <c r="J10">
        <f t="shared" si="0"/>
        <v>3.0946845369166041</v>
      </c>
    </row>
    <row r="11" spans="1:10" x14ac:dyDescent="0.3">
      <c r="A11" t="s">
        <v>54</v>
      </c>
      <c r="B11" t="s">
        <v>28</v>
      </c>
      <c r="C11" t="s">
        <v>29</v>
      </c>
      <c r="D11">
        <v>124</v>
      </c>
      <c r="E11">
        <v>13</v>
      </c>
      <c r="F11">
        <v>-0.68479999999999996</v>
      </c>
      <c r="G11">
        <v>-2.0249000000000001</v>
      </c>
      <c r="H11" t="s">
        <v>11</v>
      </c>
      <c r="I11">
        <v>1.0935999999999999E-3</v>
      </c>
      <c r="J11">
        <f t="shared" si="0"/>
        <v>2.961141498440234</v>
      </c>
    </row>
    <row r="12" spans="1:10" x14ac:dyDescent="0.3">
      <c r="A12" t="s">
        <v>54</v>
      </c>
      <c r="B12" t="s">
        <v>30</v>
      </c>
      <c r="C12" t="s">
        <v>31</v>
      </c>
      <c r="D12">
        <v>54</v>
      </c>
      <c r="E12">
        <v>6</v>
      </c>
      <c r="F12">
        <v>-0.77722000000000002</v>
      </c>
      <c r="G12">
        <v>-2.0108000000000001</v>
      </c>
      <c r="H12">
        <v>1.6180999999999999E-3</v>
      </c>
      <c r="I12">
        <v>1.7543999999999999E-3</v>
      </c>
      <c r="J12">
        <f t="shared" si="0"/>
        <v>2.7558713813305333</v>
      </c>
    </row>
    <row r="13" spans="1:10" x14ac:dyDescent="0.3">
      <c r="A13" t="s">
        <v>54</v>
      </c>
      <c r="B13" t="s">
        <v>32</v>
      </c>
      <c r="C13" t="s">
        <v>33</v>
      </c>
      <c r="D13">
        <v>171</v>
      </c>
      <c r="E13">
        <v>17</v>
      </c>
      <c r="F13">
        <v>-0.65937000000000001</v>
      </c>
      <c r="G13">
        <v>-2.0017999999999998</v>
      </c>
      <c r="H13" t="s">
        <v>11</v>
      </c>
      <c r="I13">
        <v>2.0907E-3</v>
      </c>
      <c r="J13">
        <f t="shared" si="0"/>
        <v>2.6797082807604395</v>
      </c>
    </row>
    <row r="14" spans="1:10" x14ac:dyDescent="0.3">
      <c r="A14" t="s">
        <v>54</v>
      </c>
      <c r="B14" t="s">
        <v>34</v>
      </c>
      <c r="C14" t="s">
        <v>35</v>
      </c>
      <c r="D14">
        <v>67</v>
      </c>
      <c r="E14">
        <v>7</v>
      </c>
      <c r="F14">
        <v>-0.72989999999999999</v>
      </c>
      <c r="G14">
        <v>-1.9365000000000001</v>
      </c>
      <c r="H14">
        <v>1.5479999999999999E-3</v>
      </c>
      <c r="I14">
        <v>1.1233E-2</v>
      </c>
      <c r="J14">
        <f t="shared" si="0"/>
        <v>1.949504241116145</v>
      </c>
    </row>
    <row r="15" spans="1:10" x14ac:dyDescent="0.3">
      <c r="A15" t="s">
        <v>54</v>
      </c>
      <c r="B15" t="s">
        <v>36</v>
      </c>
      <c r="C15" t="s">
        <v>37</v>
      </c>
      <c r="D15">
        <v>128</v>
      </c>
      <c r="E15">
        <v>12</v>
      </c>
      <c r="F15">
        <v>-0.65203</v>
      </c>
      <c r="G15">
        <v>-1.8984000000000001</v>
      </c>
      <c r="H15" t="s">
        <v>11</v>
      </c>
      <c r="I15">
        <v>2.1780000000000001E-2</v>
      </c>
      <c r="J15">
        <f t="shared" si="0"/>
        <v>1.6619421245802439</v>
      </c>
    </row>
    <row r="16" spans="1:10" x14ac:dyDescent="0.3">
      <c r="A16" t="s">
        <v>55</v>
      </c>
      <c r="B16" t="s">
        <v>38</v>
      </c>
      <c r="C16" t="s">
        <v>39</v>
      </c>
      <c r="D16">
        <v>43</v>
      </c>
      <c r="E16">
        <v>10</v>
      </c>
      <c r="F16">
        <v>-0.86645000000000005</v>
      </c>
      <c r="G16">
        <v>-2.1640999999999999</v>
      </c>
      <c r="H16" t="s">
        <v>11</v>
      </c>
      <c r="I16" s="1">
        <v>2.2E-16</v>
      </c>
      <c r="J16">
        <f t="shared" si="0"/>
        <v>15.657577319177793</v>
      </c>
    </row>
    <row r="17" spans="1:10" x14ac:dyDescent="0.3">
      <c r="A17" t="s">
        <v>55</v>
      </c>
      <c r="B17" t="s">
        <v>40</v>
      </c>
      <c r="C17" t="s">
        <v>41</v>
      </c>
      <c r="D17">
        <v>99</v>
      </c>
      <c r="E17">
        <v>16</v>
      </c>
      <c r="F17">
        <v>-0.80462999999999996</v>
      </c>
      <c r="G17">
        <v>-2.2703000000000002</v>
      </c>
      <c r="H17" t="s">
        <v>11</v>
      </c>
      <c r="I17" s="1">
        <v>2.2E-16</v>
      </c>
      <c r="J17">
        <f t="shared" si="0"/>
        <v>15.657577319177793</v>
      </c>
    </row>
    <row r="18" spans="1:10" x14ac:dyDescent="0.3">
      <c r="A18" t="s">
        <v>55</v>
      </c>
      <c r="B18" t="s">
        <v>42</v>
      </c>
      <c r="C18" t="s">
        <v>43</v>
      </c>
      <c r="D18">
        <v>84</v>
      </c>
      <c r="E18">
        <v>56</v>
      </c>
      <c r="F18">
        <v>-0.72292999999999996</v>
      </c>
      <c r="G18">
        <v>-2.0478000000000001</v>
      </c>
      <c r="H18" t="s">
        <v>11</v>
      </c>
      <c r="I18">
        <v>8.0531000000000005E-4</v>
      </c>
      <c r="J18">
        <f t="shared" si="0"/>
        <v>3.0940369079883445</v>
      </c>
    </row>
    <row r="19" spans="1:10" x14ac:dyDescent="0.3">
      <c r="A19" t="s">
        <v>55</v>
      </c>
      <c r="B19" t="s">
        <v>44</v>
      </c>
      <c r="C19" t="s">
        <v>45</v>
      </c>
      <c r="D19">
        <v>22</v>
      </c>
      <c r="E19">
        <v>21</v>
      </c>
      <c r="F19">
        <v>-0.83552000000000004</v>
      </c>
      <c r="G19">
        <v>-1.9489000000000001</v>
      </c>
      <c r="H19" t="s">
        <v>11</v>
      </c>
      <c r="I19">
        <v>6.4425000000000003E-3</v>
      </c>
      <c r="J19">
        <f t="shared" si="0"/>
        <v>2.1909455727770575</v>
      </c>
    </row>
    <row r="20" spans="1:10" x14ac:dyDescent="0.3">
      <c r="A20" t="s">
        <v>55</v>
      </c>
      <c r="B20" t="s">
        <v>46</v>
      </c>
      <c r="C20" t="s">
        <v>47</v>
      </c>
      <c r="D20">
        <v>214</v>
      </c>
      <c r="E20">
        <v>101</v>
      </c>
      <c r="F20">
        <v>-0.61307</v>
      </c>
      <c r="G20">
        <v>-1.9206000000000001</v>
      </c>
      <c r="H20" t="s">
        <v>11</v>
      </c>
      <c r="I20">
        <v>1.2563E-2</v>
      </c>
      <c r="J20">
        <f t="shared" si="0"/>
        <v>1.9009066402269004</v>
      </c>
    </row>
    <row r="21" spans="1:10" x14ac:dyDescent="0.3">
      <c r="A21" t="s">
        <v>55</v>
      </c>
      <c r="B21" t="s">
        <v>48</v>
      </c>
      <c r="C21" t="s">
        <v>49</v>
      </c>
      <c r="D21">
        <v>135</v>
      </c>
      <c r="E21">
        <v>72</v>
      </c>
      <c r="F21">
        <v>-0.63892000000000004</v>
      </c>
      <c r="G21">
        <v>-1.9089</v>
      </c>
      <c r="H21" t="s">
        <v>11</v>
      </c>
      <c r="I21">
        <v>1.3422E-2</v>
      </c>
      <c r="J21">
        <f t="shared" si="0"/>
        <v>1.8721827655197267</v>
      </c>
    </row>
    <row r="22" spans="1:10" x14ac:dyDescent="0.3">
      <c r="A22" t="s">
        <v>55</v>
      </c>
      <c r="B22" t="s">
        <v>50</v>
      </c>
      <c r="C22" t="s">
        <v>51</v>
      </c>
      <c r="D22">
        <v>42</v>
      </c>
      <c r="E22">
        <v>35</v>
      </c>
      <c r="F22">
        <v>-0.73934999999999995</v>
      </c>
      <c r="G22">
        <v>-1.8560000000000001</v>
      </c>
      <c r="H22">
        <v>3.3278000000000001E-3</v>
      </c>
      <c r="I22">
        <v>2.9912000000000001E-2</v>
      </c>
      <c r="J22">
        <f t="shared" si="0"/>
        <v>1.5241545478538367</v>
      </c>
    </row>
    <row r="23" spans="1:10" x14ac:dyDescent="0.3">
      <c r="A23" t="s">
        <v>56</v>
      </c>
      <c r="B23" t="s">
        <v>52</v>
      </c>
      <c r="C23" t="s">
        <v>53</v>
      </c>
      <c r="D23">
        <v>20</v>
      </c>
      <c r="E23">
        <v>4</v>
      </c>
      <c r="F23">
        <v>-0.90422000000000002</v>
      </c>
      <c r="G23">
        <v>-2.0264000000000002</v>
      </c>
      <c r="H23" t="s">
        <v>11</v>
      </c>
      <c r="I23">
        <v>1.0923E-2</v>
      </c>
      <c r="J23">
        <f>-LOG10(I23)</f>
        <v>1.9616580663463938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Reactome</vt:lpstr>
      <vt:lpstr>GO BP</vt:lpstr>
      <vt:lpstr>GO CC</vt:lpstr>
      <vt:lpstr>GO MF</vt:lpstr>
      <vt:lpstr>GO</vt:lpstr>
    </vt:vector>
  </TitlesOfParts>
  <Company>Abbvie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Fei</dc:creator>
  <cp:lastModifiedBy>Wang, Fei</cp:lastModifiedBy>
  <dcterms:created xsi:type="dcterms:W3CDTF">2025-08-20T16:56:01Z</dcterms:created>
  <dcterms:modified xsi:type="dcterms:W3CDTF">2025-08-20T17:02:20Z</dcterms:modified>
</cp:coreProperties>
</file>