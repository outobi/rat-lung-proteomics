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multiple factor interaction/interaction/aged * sex interction for reviewer/GSEA/"/>
    </mc:Choice>
  </mc:AlternateContent>
  <xr:revisionPtr revIDLastSave="0" documentId="13_ncr:1_{B30508FE-2494-8A41-B709-48AF13DEC409}" xr6:coauthVersionLast="47" xr6:coauthVersionMax="47" xr10:uidLastSave="{00000000-0000-0000-0000-000000000000}"/>
  <bookViews>
    <workbookView xWindow="7800" yWindow="4100" windowWidth="26440" windowHeight="15440" firstSheet="1" activeTab="4" xr2:uid="{7A9B66F1-F78A-664C-8FC6-95C9136B040A}"/>
  </bookViews>
  <sheets>
    <sheet name="ITEM SUMMARY" sheetId="8" r:id="rId1"/>
    <sheet name="female vs male go" sheetId="1" r:id="rId2"/>
    <sheet name="female vs male reactome" sheetId="2" r:id="rId3"/>
    <sheet name="bottom vs peri GO" sheetId="3" r:id="rId4"/>
    <sheet name="central vs peri GO" sheetId="4" r:id="rId5"/>
    <sheet name="central vs top GO" sheetId="6" r:id="rId6"/>
    <sheet name="central vs top reactom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2" i="4" l="1"/>
  <c r="I10" i="7"/>
  <c r="I9" i="7"/>
  <c r="I8" i="7"/>
  <c r="I7" i="7"/>
  <c r="I6" i="7"/>
  <c r="I5" i="7"/>
  <c r="I4" i="7"/>
  <c r="I3" i="7"/>
  <c r="I2" i="7"/>
  <c r="J4" i="6"/>
  <c r="J3" i="6"/>
  <c r="J2" i="6"/>
  <c r="J6" i="3"/>
  <c r="J5" i="3"/>
  <c r="J4" i="3"/>
  <c r="J3" i="3"/>
  <c r="J2" i="3"/>
  <c r="I4" i="2"/>
  <c r="I3" i="2"/>
  <c r="I2" i="2"/>
  <c r="J3" i="1"/>
  <c r="J2" i="1"/>
</calcChain>
</file>

<file path=xl/sharedStrings.xml><?xml version="1.0" encoding="utf-8"?>
<sst xmlns="http://schemas.openxmlformats.org/spreadsheetml/2006/main" count="128" uniqueCount="66">
  <si>
    <t>GO</t>
  </si>
  <si>
    <t>Gene Set</t>
  </si>
  <si>
    <t>Description</t>
  </si>
  <si>
    <t>Size</t>
  </si>
  <si>
    <t>Leading Edge Number</t>
  </si>
  <si>
    <t>ES</t>
  </si>
  <si>
    <t>NES</t>
  </si>
  <si>
    <t>P Value</t>
  </si>
  <si>
    <t>FDR</t>
  </si>
  <si>
    <t>Log10(FDR)</t>
  </si>
  <si>
    <t>BP</t>
  </si>
  <si>
    <t>GO:0045103</t>
  </si>
  <si>
    <t>intermediate filament-based process</t>
  </si>
  <si>
    <t>CC</t>
  </si>
  <si>
    <t>GO:0045111</t>
  </si>
  <si>
    <t>intermediate filament cytoskeleton</t>
  </si>
  <si>
    <t>R-RNO-6805567</t>
  </si>
  <si>
    <t>Keratinization</t>
  </si>
  <si>
    <t>R-RNO-6809371</t>
  </si>
  <si>
    <t>Formation of the cornified envelope</t>
  </si>
  <si>
    <t>R-RNO-1266738</t>
  </si>
  <si>
    <t>Developmental Biology</t>
  </si>
  <si>
    <t>R-RNO-72613</t>
  </si>
  <si>
    <t>Eukaryotic Translation Initiation</t>
  </si>
  <si>
    <t>R-RNO-72737</t>
  </si>
  <si>
    <t>Cap-dependent Translation Initiation</t>
  </si>
  <si>
    <t>R-RNO-6791226</t>
  </si>
  <si>
    <t>Major pathway of rRNA processing in the nucleolus and cytosol</t>
  </si>
  <si>
    <t>R-RNO-72312</t>
  </si>
  <si>
    <t>rRNA processing</t>
  </si>
  <si>
    <t>R-RNO-8868773</t>
  </si>
  <si>
    <t>rRNA processing in the nucleus and cytosol</t>
  </si>
  <si>
    <t>R-RNO-927802</t>
  </si>
  <si>
    <t>Nonsense-Mediated Decay (NMD)</t>
  </si>
  <si>
    <t>R-RNO-975957</t>
  </si>
  <si>
    <t>Nonsense Mediated Decay (NMD) enhanced by the Exon Junction Complex (EJC)</t>
  </si>
  <si>
    <t>R-RNO-156827</t>
  </si>
  <si>
    <t>L13a-mediated translational silencing of Ceruloplasmin expression</t>
  </si>
  <si>
    <t>R-RNO-975956</t>
  </si>
  <si>
    <t>Nonsense Mediated Decay (NMD) independent of the Exon Junction Complex (EJC)</t>
  </si>
  <si>
    <t>MF</t>
  </si>
  <si>
    <t>GO:0016765</t>
  </si>
  <si>
    <t>transferase activity, transferring alkyl or aryl (other than methyl) groups</t>
  </si>
  <si>
    <t>GO:0008324</t>
  </si>
  <si>
    <t>monoatomic cation transmembrane transporter activity</t>
  </si>
  <si>
    <t>GO:0022804</t>
  </si>
  <si>
    <t>active transmembrane transporter activity</t>
  </si>
  <si>
    <t>GO:0022890</t>
  </si>
  <si>
    <t>inorganic cation transmembrane transporter activity</t>
  </si>
  <si>
    <t>GO:1901702</t>
  </si>
  <si>
    <t>salt transmembrane transporter activity</t>
  </si>
  <si>
    <t>GO:0005840</t>
  </si>
  <si>
    <t>ribosome</t>
  </si>
  <si>
    <t>GO:0005844</t>
  </si>
  <si>
    <t>polysome</t>
  </si>
  <si>
    <t>GO:0060076</t>
  </si>
  <si>
    <t>excitatory synapse</t>
  </si>
  <si>
    <t>ITEM NUMBER</t>
  </si>
  <si>
    <t>GO BP</t>
  </si>
  <si>
    <t>Reactome</t>
  </si>
  <si>
    <t>Female &gt; Male</t>
  </si>
  <si>
    <t>B &gt; P</t>
  </si>
  <si>
    <t>C &gt; P</t>
  </si>
  <si>
    <t>C &gt; T</t>
  </si>
  <si>
    <t>GO:0005788</t>
  </si>
  <si>
    <t>endoplasmic reticulum 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</si>
</sst>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363636"/>
      <name val="Arial"/>
      <family val="2"/>
    </font>
    <font>
      <sz val="12"/>
      <color rgb="FF000000"/>
      <name val="Arial"/>
      <family val="2"/>
    </font>
    <font>
      <sz val="12"/>
      <color rgb="FF363636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 applyAlignment="1">
      <alignment vertical="center"/>
    </xf>
    <xf numFmtId="11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11" fontId="0" fillId="0" borderId="0" xfId="0" applyNumberFormat="1"/>
    <xf numFmtId="0" fontId="3" fillId="0" borderId="0" xfId="0" applyFont="1"/>
    <xf numFmtId="0" fontId="4" fillId="0" borderId="0" xfId="0" applyFont="1"/>
    <xf numFmtId="11" fontId="4" fillId="0" borderId="0" xfId="0" applyNumberFormat="1" applyFont="1"/>
    <xf numFmtId="0" fontId="5" fillId="0" borderId="0" xfId="0" applyFont="1"/>
    <xf numFmtId="0" fontId="6" fillId="0" borderId="0" xfId="0" applyFont="1"/>
    <xf numFmtId="1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C5F63-1BA6-C14F-894F-EB10DBC5CB50}">
  <dimension ref="A2:E14"/>
  <sheetViews>
    <sheetView workbookViewId="0">
      <selection activeCell="E18" sqref="E18"/>
    </sheetView>
  </sheetViews>
  <sheetFormatPr baseColWidth="10" defaultRowHeight="16" x14ac:dyDescent="0.2"/>
  <cols>
    <col min="1" max="1" width="12.83203125" bestFit="1" customWidth="1"/>
  </cols>
  <sheetData>
    <row r="2" spans="1:5" x14ac:dyDescent="0.2">
      <c r="A2" t="s">
        <v>57</v>
      </c>
      <c r="B2" t="s">
        <v>58</v>
      </c>
      <c r="C2" t="s">
        <v>13</v>
      </c>
      <c r="D2" t="s">
        <v>40</v>
      </c>
      <c r="E2" t="s">
        <v>59</v>
      </c>
    </row>
    <row r="3" spans="1:5" x14ac:dyDescent="0.2">
      <c r="A3" t="s">
        <v>60</v>
      </c>
      <c r="B3">
        <v>1</v>
      </c>
      <c r="C3">
        <v>1</v>
      </c>
      <c r="D3">
        <v>0</v>
      </c>
      <c r="E3">
        <v>3</v>
      </c>
    </row>
    <row r="4" spans="1:5" x14ac:dyDescent="0.2">
      <c r="A4" t="s">
        <v>61</v>
      </c>
      <c r="B4">
        <v>0</v>
      </c>
      <c r="C4">
        <v>0</v>
      </c>
      <c r="D4">
        <v>5</v>
      </c>
      <c r="E4">
        <v>0</v>
      </c>
    </row>
    <row r="5" spans="1:5" x14ac:dyDescent="0.2">
      <c r="A5" t="s">
        <v>62</v>
      </c>
      <c r="B5">
        <v>0</v>
      </c>
      <c r="C5">
        <v>3</v>
      </c>
      <c r="D5">
        <v>0</v>
      </c>
      <c r="E5">
        <v>13</v>
      </c>
    </row>
    <row r="6" spans="1:5" x14ac:dyDescent="0.2">
      <c r="A6" t="s">
        <v>63</v>
      </c>
      <c r="B6">
        <v>0</v>
      </c>
      <c r="C6">
        <v>3</v>
      </c>
      <c r="D6">
        <v>0</v>
      </c>
      <c r="E6">
        <v>9</v>
      </c>
    </row>
    <row r="11" spans="1:5" x14ac:dyDescent="0.2">
      <c r="A11" t="s">
        <v>60</v>
      </c>
      <c r="B11">
        <v>1</v>
      </c>
      <c r="C11">
        <v>1</v>
      </c>
      <c r="D11">
        <v>0</v>
      </c>
      <c r="E11">
        <v>3</v>
      </c>
    </row>
    <row r="12" spans="1:5" x14ac:dyDescent="0.2">
      <c r="A12" t="s">
        <v>61</v>
      </c>
      <c r="B12">
        <v>0</v>
      </c>
      <c r="C12">
        <v>0</v>
      </c>
      <c r="D12">
        <v>5</v>
      </c>
      <c r="E12">
        <v>0</v>
      </c>
    </row>
    <row r="13" spans="1:5" x14ac:dyDescent="0.2">
      <c r="A13" t="s">
        <v>62</v>
      </c>
      <c r="B13">
        <v>0</v>
      </c>
      <c r="C13">
        <v>1</v>
      </c>
      <c r="D13">
        <v>0</v>
      </c>
      <c r="E13">
        <v>0</v>
      </c>
    </row>
    <row r="14" spans="1:5" x14ac:dyDescent="0.2">
      <c r="A14" t="s">
        <v>63</v>
      </c>
      <c r="B14">
        <v>0</v>
      </c>
      <c r="C14">
        <v>3</v>
      </c>
      <c r="D14">
        <v>0</v>
      </c>
      <c r="E14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3A87-851F-9848-9C36-67C7996457C7}">
  <dimension ref="A1:J3"/>
  <sheetViews>
    <sheetView workbookViewId="0">
      <selection activeCell="A4" sqref="A4:XFD19"/>
    </sheetView>
  </sheetViews>
  <sheetFormatPr baseColWidth="10" defaultRowHeight="15" x14ac:dyDescent="0.2"/>
  <cols>
    <col min="1" max="16384" width="10.83203125" style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s="1" t="s">
        <v>10</v>
      </c>
      <c r="B2" s="1" t="s">
        <v>11</v>
      </c>
      <c r="C2" s="1" t="s">
        <v>12</v>
      </c>
      <c r="D2" s="1">
        <v>15</v>
      </c>
      <c r="E2" s="1">
        <v>6</v>
      </c>
      <c r="F2" s="1">
        <v>0.85985</v>
      </c>
      <c r="G2" s="1">
        <v>2.1284999999999998</v>
      </c>
      <c r="H2" s="2">
        <v>2.2E-16</v>
      </c>
      <c r="I2" s="1">
        <v>2.6058999999999999E-2</v>
      </c>
      <c r="J2" s="1">
        <f>-LOG10(I2)</f>
        <v>1.5840422541190098</v>
      </c>
    </row>
    <row r="3" spans="1:10" x14ac:dyDescent="0.2">
      <c r="A3" s="1" t="s">
        <v>13</v>
      </c>
      <c r="B3" s="1" t="s">
        <v>14</v>
      </c>
      <c r="C3" s="1" t="s">
        <v>15</v>
      </c>
      <c r="D3" s="1">
        <v>24</v>
      </c>
      <c r="E3" s="1">
        <v>7</v>
      </c>
      <c r="F3" s="1">
        <v>0.77005000000000001</v>
      </c>
      <c r="G3" s="1">
        <v>2.0964</v>
      </c>
      <c r="H3" s="2">
        <v>2.2E-16</v>
      </c>
      <c r="I3" s="1">
        <v>1.2239E-2</v>
      </c>
      <c r="J3" s="1">
        <f>-LOG10(I3)</f>
        <v>1.9122540652152662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9AE5E-1168-144D-AF87-D391FD20736C}">
  <dimension ref="A1:J6"/>
  <sheetViews>
    <sheetView workbookViewId="0">
      <selection activeCell="C7" sqref="C7"/>
    </sheetView>
  </sheetViews>
  <sheetFormatPr baseColWidth="10" defaultRowHeight="15" x14ac:dyDescent="0.2"/>
  <cols>
    <col min="1" max="1" width="10.83203125" style="1"/>
    <col min="2" max="2" width="30" style="1" bestFit="1" customWidth="1"/>
    <col min="3" max="16384" width="10.83203125" style="1"/>
  </cols>
  <sheetData>
    <row r="1" spans="1:10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/>
    </row>
    <row r="2" spans="1:10" x14ac:dyDescent="0.2">
      <c r="A2" s="3" t="s">
        <v>16</v>
      </c>
      <c r="B2" s="3" t="s">
        <v>17</v>
      </c>
      <c r="C2" s="3">
        <v>12</v>
      </c>
      <c r="D2" s="3">
        <v>7</v>
      </c>
      <c r="E2" s="3">
        <v>0.90525</v>
      </c>
      <c r="F2" s="3">
        <v>2.1015000000000001</v>
      </c>
      <c r="G2" s="4">
        <v>2.2E-16</v>
      </c>
      <c r="H2" s="3">
        <v>1.4708000000000001E-2</v>
      </c>
      <c r="I2" s="3">
        <f>-LOG10(H2)</f>
        <v>1.8324463788031753</v>
      </c>
      <c r="J2" s="3"/>
    </row>
    <row r="3" spans="1:10" x14ac:dyDescent="0.2">
      <c r="A3" s="3" t="s">
        <v>18</v>
      </c>
      <c r="B3" s="3" t="s">
        <v>19</v>
      </c>
      <c r="C3" s="3">
        <v>12</v>
      </c>
      <c r="D3" s="3">
        <v>7</v>
      </c>
      <c r="E3" s="3">
        <v>0.90525</v>
      </c>
      <c r="F3" s="3">
        <v>2.1015000000000001</v>
      </c>
      <c r="G3" s="4">
        <v>2.2E-16</v>
      </c>
      <c r="H3" s="3">
        <v>1.4708000000000001E-2</v>
      </c>
      <c r="I3" s="3">
        <f t="shared" ref="I3:I4" si="0">-LOG10(H3)</f>
        <v>1.8324463788031753</v>
      </c>
      <c r="J3" s="3"/>
    </row>
    <row r="4" spans="1:10" x14ac:dyDescent="0.2">
      <c r="A4" s="3" t="s">
        <v>20</v>
      </c>
      <c r="B4" s="3" t="s">
        <v>21</v>
      </c>
      <c r="C4" s="3">
        <v>67</v>
      </c>
      <c r="D4" s="3">
        <v>15</v>
      </c>
      <c r="E4" s="3">
        <v>0.63987000000000005</v>
      </c>
      <c r="F4" s="3">
        <v>2.1231</v>
      </c>
      <c r="G4" s="4">
        <v>2.2E-16</v>
      </c>
      <c r="H4" s="3">
        <v>2.2773999999999999E-2</v>
      </c>
      <c r="I4" s="3">
        <f t="shared" si="0"/>
        <v>1.6425606836861009</v>
      </c>
      <c r="J4" s="3"/>
    </row>
    <row r="5" spans="1:10" x14ac:dyDescent="0.2">
      <c r="A5" s="3"/>
      <c r="B5" s="3"/>
      <c r="C5" s="3"/>
      <c r="D5" s="3"/>
      <c r="E5" s="3"/>
      <c r="F5" s="3"/>
      <c r="G5" s="3"/>
      <c r="H5" s="3"/>
      <c r="I5" s="3"/>
      <c r="J5" s="3"/>
    </row>
    <row r="6" spans="1:10" x14ac:dyDescent="0.2">
      <c r="A6" s="3"/>
      <c r="B6" s="3"/>
      <c r="C6" s="3"/>
      <c r="D6" s="3"/>
      <c r="E6" s="3"/>
      <c r="F6" s="3"/>
      <c r="G6" s="3"/>
      <c r="H6" s="3"/>
      <c r="I6" s="3"/>
      <c r="J6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6C226-7E18-6B4B-A441-AE327A5DBC5C}">
  <dimension ref="A1:J6"/>
  <sheetViews>
    <sheetView workbookViewId="0">
      <selection activeCell="M16" sqref="M16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0" x14ac:dyDescent="0.2">
      <c r="A2" t="s">
        <v>40</v>
      </c>
      <c r="B2" t="s">
        <v>41</v>
      </c>
      <c r="C2" t="s">
        <v>42</v>
      </c>
      <c r="D2">
        <v>10</v>
      </c>
      <c r="E2">
        <v>6</v>
      </c>
      <c r="F2">
        <v>0.87890000000000001</v>
      </c>
      <c r="G2">
        <v>1.9776</v>
      </c>
      <c r="H2" s="6">
        <v>2.2E-16</v>
      </c>
      <c r="I2">
        <v>2.1122999999999999E-2</v>
      </c>
      <c r="J2">
        <f>-LOG10(I2)</f>
        <v>1.6752444009620826</v>
      </c>
    </row>
    <row r="3" spans="1:10" x14ac:dyDescent="0.2">
      <c r="A3" t="s">
        <v>40</v>
      </c>
      <c r="B3" t="s">
        <v>43</v>
      </c>
      <c r="C3" t="s">
        <v>44</v>
      </c>
      <c r="D3">
        <v>56</v>
      </c>
      <c r="E3">
        <v>21</v>
      </c>
      <c r="F3">
        <v>0.60124999999999995</v>
      </c>
      <c r="G3">
        <v>1.9004000000000001</v>
      </c>
      <c r="H3" s="6">
        <v>2.2E-16</v>
      </c>
      <c r="I3">
        <v>2.2348E-2</v>
      </c>
      <c r="J3">
        <f t="shared" ref="J3:J6" si="0">-LOG10(I3)</f>
        <v>1.6507613373118732</v>
      </c>
    </row>
    <row r="4" spans="1:10" x14ac:dyDescent="0.2">
      <c r="A4" t="s">
        <v>40</v>
      </c>
      <c r="B4" t="s">
        <v>45</v>
      </c>
      <c r="C4" t="s">
        <v>46</v>
      </c>
      <c r="D4">
        <v>56</v>
      </c>
      <c r="E4">
        <v>23</v>
      </c>
      <c r="F4">
        <v>0.61043999999999998</v>
      </c>
      <c r="G4">
        <v>1.9049</v>
      </c>
      <c r="H4" s="6">
        <v>2.2E-16</v>
      </c>
      <c r="I4">
        <v>3.1684999999999998E-2</v>
      </c>
      <c r="J4">
        <f t="shared" si="0"/>
        <v>1.4991462885387417</v>
      </c>
    </row>
    <row r="5" spans="1:10" x14ac:dyDescent="0.2">
      <c r="A5" t="s">
        <v>40</v>
      </c>
      <c r="B5" t="s">
        <v>47</v>
      </c>
      <c r="C5" t="s">
        <v>48</v>
      </c>
      <c r="D5">
        <v>55</v>
      </c>
      <c r="E5">
        <v>20</v>
      </c>
      <c r="F5">
        <v>0.58682999999999996</v>
      </c>
      <c r="G5">
        <v>1.8531</v>
      </c>
      <c r="H5">
        <v>3.2258E-3</v>
      </c>
      <c r="I5">
        <v>3.6965999999999999E-2</v>
      </c>
      <c r="J5">
        <f t="shared" si="0"/>
        <v>1.4321975408229468</v>
      </c>
    </row>
    <row r="6" spans="1:10" x14ac:dyDescent="0.2">
      <c r="A6" t="s">
        <v>40</v>
      </c>
      <c r="B6" t="s">
        <v>49</v>
      </c>
      <c r="C6" t="s">
        <v>50</v>
      </c>
      <c r="D6">
        <v>48</v>
      </c>
      <c r="E6">
        <v>11</v>
      </c>
      <c r="F6">
        <v>0.60148999999999997</v>
      </c>
      <c r="G6">
        <v>1.8359000000000001</v>
      </c>
      <c r="H6">
        <v>1.6367E-3</v>
      </c>
      <c r="I6">
        <v>4.0777000000000001E-2</v>
      </c>
      <c r="J6">
        <f t="shared" si="0"/>
        <v>1.3895847288122112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CC9B-D7C0-BC48-A79B-DA94200866F3}">
  <dimension ref="A1:J13"/>
  <sheetViews>
    <sheetView tabSelected="1" workbookViewId="0">
      <selection activeCell="A4" sqref="A4:J7"/>
    </sheetView>
  </sheetViews>
  <sheetFormatPr baseColWidth="10" defaultRowHeight="16" x14ac:dyDescent="0.2"/>
  <sheetData>
    <row r="1" spans="1:10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5" t="s">
        <v>9</v>
      </c>
    </row>
    <row r="2" spans="1:10" x14ac:dyDescent="0.2">
      <c r="A2" s="10" t="s">
        <v>13</v>
      </c>
      <c r="B2" s="11" t="s">
        <v>64</v>
      </c>
      <c r="C2" s="11" t="s">
        <v>65</v>
      </c>
      <c r="D2" s="11">
        <v>23</v>
      </c>
      <c r="E2" s="11">
        <v>9</v>
      </c>
      <c r="F2" s="11">
        <v>-0.69891999999999999</v>
      </c>
      <c r="G2" s="11">
        <v>-2.1114000000000002</v>
      </c>
      <c r="H2" s="12">
        <v>2.2E-16</v>
      </c>
      <c r="I2" s="11">
        <v>8.1668999999999995E-3</v>
      </c>
      <c r="J2" s="10">
        <f>-LOG10(I2)</f>
        <v>2.0879427621186211</v>
      </c>
    </row>
    <row r="3" spans="1:10" x14ac:dyDescent="0.2">
      <c r="A3" s="7"/>
      <c r="B3" s="8"/>
      <c r="C3" s="8"/>
      <c r="D3" s="8"/>
      <c r="E3" s="8"/>
      <c r="F3" s="8"/>
      <c r="G3" s="8"/>
      <c r="H3" s="9"/>
      <c r="I3" s="8"/>
      <c r="J3" s="7"/>
    </row>
    <row r="4" spans="1:10" x14ac:dyDescent="0.2">
      <c r="A4" s="7"/>
      <c r="B4" s="8"/>
      <c r="C4" s="8"/>
      <c r="D4" s="8"/>
      <c r="E4" s="8"/>
      <c r="F4" s="8"/>
      <c r="G4" s="8"/>
      <c r="H4" s="8"/>
      <c r="I4" s="8"/>
      <c r="J4" s="7"/>
    </row>
    <row r="5" spans="1:10" x14ac:dyDescent="0.2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x14ac:dyDescent="0.2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x14ac:dyDescent="0.2">
      <c r="A7" s="7"/>
      <c r="B7" s="7"/>
      <c r="C7" s="7"/>
      <c r="D7" s="7"/>
      <c r="E7" s="7"/>
      <c r="F7" s="7"/>
      <c r="G7" s="7"/>
      <c r="H7" s="7"/>
      <c r="I7" s="7"/>
      <c r="J7" s="7"/>
    </row>
    <row r="8" spans="1:10" x14ac:dyDescent="0.2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x14ac:dyDescent="0.2">
      <c r="A9" s="7"/>
      <c r="B9" s="7"/>
      <c r="C9" s="7"/>
      <c r="D9" s="7"/>
      <c r="E9" s="7"/>
      <c r="F9" s="7"/>
      <c r="G9" s="7"/>
      <c r="H9" s="7"/>
      <c r="I9" s="7"/>
      <c r="J9" s="7"/>
    </row>
    <row r="10" spans="1:10" x14ac:dyDescent="0.2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x14ac:dyDescent="0.2">
      <c r="A11" s="7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2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x14ac:dyDescent="0.2">
      <c r="A13" s="7"/>
      <c r="B13" s="7"/>
      <c r="C13" s="7"/>
      <c r="D13" s="7"/>
      <c r="E13" s="7"/>
      <c r="F13" s="7"/>
      <c r="G13" s="7"/>
      <c r="H13" s="7"/>
      <c r="I13" s="7"/>
      <c r="J13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5A1A3-502F-C444-83E7-4353255B1706}">
  <dimension ref="A1:J4"/>
  <sheetViews>
    <sheetView workbookViewId="0">
      <selection sqref="A1:K5"/>
    </sheetView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5" t="s">
        <v>9</v>
      </c>
    </row>
    <row r="2" spans="1:10" x14ac:dyDescent="0.2">
      <c r="A2" t="s">
        <v>13</v>
      </c>
      <c r="B2" t="s">
        <v>51</v>
      </c>
      <c r="C2" t="s">
        <v>52</v>
      </c>
      <c r="D2">
        <v>65</v>
      </c>
      <c r="E2">
        <v>35</v>
      </c>
      <c r="F2">
        <v>0.62168999999999996</v>
      </c>
      <c r="G2">
        <v>2.0072000000000001</v>
      </c>
      <c r="H2" s="6">
        <v>2.2E-16</v>
      </c>
      <c r="I2">
        <v>5.5411999999999996E-3</v>
      </c>
      <c r="J2">
        <f>-LOG10(I2)</f>
        <v>2.2563961744513845</v>
      </c>
    </row>
    <row r="3" spans="1:10" x14ac:dyDescent="0.2">
      <c r="A3" t="s">
        <v>13</v>
      </c>
      <c r="B3" t="s">
        <v>53</v>
      </c>
      <c r="C3" t="s">
        <v>54</v>
      </c>
      <c r="D3">
        <v>18</v>
      </c>
      <c r="E3">
        <v>8</v>
      </c>
      <c r="F3">
        <v>0.73248999999999997</v>
      </c>
      <c r="G3">
        <v>1.8954</v>
      </c>
      <c r="H3" s="6">
        <v>2.2E-16</v>
      </c>
      <c r="I3">
        <v>1.1452E-2</v>
      </c>
      <c r="J3">
        <f t="shared" ref="J3:J4" si="0">-LOG10(I3)</f>
        <v>1.9411186606504389</v>
      </c>
    </row>
    <row r="4" spans="1:10" x14ac:dyDescent="0.2">
      <c r="A4" t="s">
        <v>13</v>
      </c>
      <c r="B4" t="s">
        <v>55</v>
      </c>
      <c r="C4" t="s">
        <v>56</v>
      </c>
      <c r="D4">
        <v>12</v>
      </c>
      <c r="E4">
        <v>2</v>
      </c>
      <c r="F4">
        <v>0.79200000000000004</v>
      </c>
      <c r="G4">
        <v>1.8962000000000001</v>
      </c>
      <c r="H4">
        <v>1.4025000000000001E-3</v>
      </c>
      <c r="I4">
        <v>1.7177999999999999E-2</v>
      </c>
      <c r="J4">
        <f t="shared" si="0"/>
        <v>1.7650274015947578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BBBD6-DC9C-A14C-B161-7177B699CC47}">
  <dimension ref="A1:I10"/>
  <sheetViews>
    <sheetView workbookViewId="0">
      <selection activeCell="J21" sqref="J21"/>
    </sheetView>
  </sheetViews>
  <sheetFormatPr baseColWidth="10" defaultRowHeight="16" x14ac:dyDescent="0.2"/>
  <sheetData>
    <row r="1" spans="1:9" x14ac:dyDescent="0.2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s="5" t="s">
        <v>9</v>
      </c>
    </row>
    <row r="2" spans="1:9" x14ac:dyDescent="0.2">
      <c r="A2" t="s">
        <v>36</v>
      </c>
      <c r="B2" t="s">
        <v>37</v>
      </c>
      <c r="C2">
        <v>53</v>
      </c>
      <c r="D2">
        <v>31</v>
      </c>
      <c r="E2">
        <v>0.61173</v>
      </c>
      <c r="F2">
        <v>1.9233</v>
      </c>
      <c r="G2">
        <v>3.7594E-3</v>
      </c>
      <c r="H2">
        <v>3.6449000000000002E-2</v>
      </c>
      <c r="I2">
        <f>-LOG10(H2)</f>
        <v>1.4383143823100508</v>
      </c>
    </row>
    <row r="3" spans="1:9" x14ac:dyDescent="0.2">
      <c r="A3" t="s">
        <v>32</v>
      </c>
      <c r="B3" t="s">
        <v>33</v>
      </c>
      <c r="C3">
        <v>53</v>
      </c>
      <c r="D3">
        <v>30</v>
      </c>
      <c r="E3">
        <v>0.60006000000000004</v>
      </c>
      <c r="F3">
        <v>1.8862000000000001</v>
      </c>
      <c r="G3">
        <v>2.4783000000000001E-3</v>
      </c>
      <c r="H3">
        <v>4.0551999999999998E-2</v>
      </c>
      <c r="I3">
        <f t="shared" ref="I3:I10" si="0">-LOG10(H3)</f>
        <v>1.3919877217846546</v>
      </c>
    </row>
    <row r="4" spans="1:9" x14ac:dyDescent="0.2">
      <c r="A4" t="s">
        <v>34</v>
      </c>
      <c r="B4" t="s">
        <v>35</v>
      </c>
      <c r="C4">
        <v>53</v>
      </c>
      <c r="D4">
        <v>30</v>
      </c>
      <c r="E4">
        <v>0.60006000000000004</v>
      </c>
      <c r="F4">
        <v>1.8862000000000001</v>
      </c>
      <c r="G4">
        <v>2.4783000000000001E-3</v>
      </c>
      <c r="H4">
        <v>4.0551999999999998E-2</v>
      </c>
      <c r="I4">
        <f t="shared" si="0"/>
        <v>1.3919877217846546</v>
      </c>
    </row>
    <row r="5" spans="1:9" x14ac:dyDescent="0.2">
      <c r="A5" t="s">
        <v>22</v>
      </c>
      <c r="B5" t="s">
        <v>23</v>
      </c>
      <c r="C5">
        <v>57</v>
      </c>
      <c r="D5">
        <v>31</v>
      </c>
      <c r="E5">
        <v>0.58435999999999999</v>
      </c>
      <c r="F5">
        <v>1.8574999999999999</v>
      </c>
      <c r="G5">
        <v>3.7128999999999999E-3</v>
      </c>
      <c r="H5">
        <v>4.4512000000000003E-2</v>
      </c>
      <c r="I5">
        <f t="shared" si="0"/>
        <v>1.3515228916880475</v>
      </c>
    </row>
    <row r="6" spans="1:9" x14ac:dyDescent="0.2">
      <c r="A6" t="s">
        <v>24</v>
      </c>
      <c r="B6" t="s">
        <v>25</v>
      </c>
      <c r="C6">
        <v>57</v>
      </c>
      <c r="D6">
        <v>31</v>
      </c>
      <c r="E6">
        <v>0.58435999999999999</v>
      </c>
      <c r="F6">
        <v>1.8574999999999999</v>
      </c>
      <c r="G6">
        <v>3.7128999999999999E-3</v>
      </c>
      <c r="H6">
        <v>4.4512000000000003E-2</v>
      </c>
      <c r="I6">
        <f t="shared" si="0"/>
        <v>1.3515228916880475</v>
      </c>
    </row>
    <row r="7" spans="1:9" x14ac:dyDescent="0.2">
      <c r="A7" t="s">
        <v>38</v>
      </c>
      <c r="B7" t="s">
        <v>39</v>
      </c>
      <c r="C7">
        <v>48</v>
      </c>
      <c r="D7">
        <v>29</v>
      </c>
      <c r="E7">
        <v>0.62592000000000003</v>
      </c>
      <c r="F7">
        <v>1.9331</v>
      </c>
      <c r="G7">
        <v>1.2578999999999999E-3</v>
      </c>
      <c r="H7">
        <v>4.4733000000000002E-2</v>
      </c>
      <c r="I7">
        <f t="shared" si="0"/>
        <v>1.3493719750722331</v>
      </c>
    </row>
    <row r="8" spans="1:9" x14ac:dyDescent="0.2">
      <c r="A8" t="s">
        <v>26</v>
      </c>
      <c r="B8" t="s">
        <v>27</v>
      </c>
      <c r="C8">
        <v>60</v>
      </c>
      <c r="D8">
        <v>30</v>
      </c>
      <c r="E8">
        <v>0.57459000000000005</v>
      </c>
      <c r="F8">
        <v>1.8381000000000001</v>
      </c>
      <c r="G8">
        <v>1.2179999999999999E-3</v>
      </c>
      <c r="H8">
        <v>4.5030000000000001E-2</v>
      </c>
      <c r="I8">
        <f t="shared" si="0"/>
        <v>1.3464980530370672</v>
      </c>
    </row>
    <row r="9" spans="1:9" x14ac:dyDescent="0.2">
      <c r="A9" t="s">
        <v>28</v>
      </c>
      <c r="B9" t="s">
        <v>29</v>
      </c>
      <c r="C9">
        <v>60</v>
      </c>
      <c r="D9">
        <v>30</v>
      </c>
      <c r="E9">
        <v>0.57459000000000005</v>
      </c>
      <c r="F9">
        <v>1.8381000000000001</v>
      </c>
      <c r="G9">
        <v>1.2179999999999999E-3</v>
      </c>
      <c r="H9">
        <v>4.5030000000000001E-2</v>
      </c>
      <c r="I9">
        <f t="shared" si="0"/>
        <v>1.3464980530370672</v>
      </c>
    </row>
    <row r="10" spans="1:9" x14ac:dyDescent="0.2">
      <c r="A10" t="s">
        <v>30</v>
      </c>
      <c r="B10" t="s">
        <v>31</v>
      </c>
      <c r="C10">
        <v>60</v>
      </c>
      <c r="D10">
        <v>30</v>
      </c>
      <c r="E10">
        <v>0.57459000000000005</v>
      </c>
      <c r="F10">
        <v>1.8381000000000001</v>
      </c>
      <c r="G10">
        <v>1.2179999999999999E-3</v>
      </c>
      <c r="H10">
        <v>4.5030000000000001E-2</v>
      </c>
      <c r="I10">
        <f t="shared" si="0"/>
        <v>1.3464980530370672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ITEM SUMMARY</vt:lpstr>
      <vt:lpstr>female vs male go</vt:lpstr>
      <vt:lpstr>female vs male reactome</vt:lpstr>
      <vt:lpstr>bottom vs peri GO</vt:lpstr>
      <vt:lpstr>central vs peri GO</vt:lpstr>
      <vt:lpstr>central vs top GO</vt:lpstr>
      <vt:lpstr>central vs top reactome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e67092</dc:creator>
  <cp:lastModifiedBy>e67092</cp:lastModifiedBy>
  <dcterms:created xsi:type="dcterms:W3CDTF">2026-09-09T02:03:17Z</dcterms:created>
  <dcterms:modified xsi:type="dcterms:W3CDTF">2026-09-29T17:47:40Z</dcterms:modified>
</cp:coreProperties>
</file>