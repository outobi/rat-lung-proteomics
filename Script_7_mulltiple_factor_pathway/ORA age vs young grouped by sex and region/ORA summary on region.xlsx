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utobi/Downloads/final analysis/final code/Script_7_mulltiple_factor_pathway/ORA age vs young grouped by sex and region/"/>
    </mc:Choice>
  </mc:AlternateContent>
  <xr:revisionPtr revIDLastSave="0" documentId="13_ncr:1_{B757030F-DAF0-2343-A6A7-8780DAE5A2C5}" xr6:coauthVersionLast="47" xr6:coauthVersionMax="47" xr10:uidLastSave="{00000000-0000-0000-0000-000000000000}"/>
  <bookViews>
    <workbookView xWindow="6540" yWindow="1620" windowWidth="27640" windowHeight="16940" activeTab="7" xr2:uid="{91A36AAD-EE1D-204C-8D60-17D1338764B6}"/>
  </bookViews>
  <sheets>
    <sheet name="bottom up in aged" sheetId="14" r:id="rId1"/>
    <sheet name="central up in aged" sheetId="15" r:id="rId2"/>
    <sheet name="peri up in aged" sheetId="17" r:id="rId3"/>
    <sheet name="top up in aged" sheetId="16" r:id="rId4"/>
    <sheet name="bottom up in young" sheetId="19" r:id="rId5"/>
    <sheet name="central up in young" sheetId="23" r:id="rId6"/>
    <sheet name="peri up in young" sheetId="20" r:id="rId7"/>
    <sheet name="top up in young" sheetId="24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<sst xmlns="http://schemas.openxmlformats.org/spreadsheetml/2006/main" count="137" uniqueCount="72">
  <si>
    <t>Description</t>
  </si>
  <si>
    <t>Log10(FDR)</t>
  </si>
  <si>
    <t>multicellular organismal-level iron ion homeostasis (GO:0060586)</t>
  </si>
  <si>
    <t>complement activation (GO:0006956)</t>
  </si>
  <si>
    <t>coagulation (GO:0050817)</t>
  </si>
  <si>
    <t>receptor-mediated endocytosis (GO:0006898)</t>
  </si>
  <si>
    <t>regulation of tumor necrosis factor production (GO:0032680)</t>
  </si>
  <si>
    <t>regulation of proteasomal protein catabolic process (GO:0061136)</t>
  </si>
  <si>
    <t>negative regulation of cell migration (GO:0030336)</t>
  </si>
  <si>
    <t>immune effector process (GO:0002252)</t>
  </si>
  <si>
    <t>negative regulation of cellular component organization (GO:0051129)</t>
  </si>
  <si>
    <t>defense response (GO:0006952)</t>
  </si>
  <si>
    <t>response to external stimulus (GO:0009605)</t>
  </si>
  <si>
    <t>immune system process (GO:0002376)</t>
  </si>
  <si>
    <t>response to stress (GO:0006950)</t>
  </si>
  <si>
    <t>response to stimulus (GO:0050896)</t>
  </si>
  <si>
    <t>tissue remodeling (GO:0048771)</t>
  </si>
  <si>
    <t>exocytosis (GO:0006887)</t>
  </si>
  <si>
    <t>phospholipid metabolic process (GO:0006644)</t>
  </si>
  <si>
    <t>small GTPase-mediated signal transduction (GO:0007264)</t>
  </si>
  <si>
    <t>cilium assembly (GO:0060271)</t>
  </si>
  <si>
    <t>lipid transport (GO:0006869)</t>
  </si>
  <si>
    <t>regulation of ERK1 and ERK2 cascade (GO:0070372)</t>
  </si>
  <si>
    <t>endocytosis (GO:0006897)</t>
  </si>
  <si>
    <t>response to hypoxia (GO:0001666)</t>
  </si>
  <si>
    <t>organic acid metabolic process (GO:0006082)</t>
  </si>
  <si>
    <t>cellular component organization (GO:0016043)</t>
  </si>
  <si>
    <t>regulation of phosphatidylcholine catabolic process (GO:0010899)</t>
  </si>
  <si>
    <t>leukotriene D4 metabolic process (GO:1901748)</t>
  </si>
  <si>
    <t>nitric oxide transport (GO:0030185)</t>
  </si>
  <si>
    <t>positive regulation of cellular extravasation (GO:0002693)</t>
  </si>
  <si>
    <t>phospholipid transport (GO:0015914)</t>
  </si>
  <si>
    <t>primary alcohol metabolic process (GO:0034308)</t>
  </si>
  <si>
    <t>organophosphate ester transport (GO:0015748)</t>
  </si>
  <si>
    <t>cellular response to lipopolysaccharide (GO:0071222)</t>
  </si>
  <si>
    <t>cellular response to molecule of bacterial origin (GO:0071219)</t>
  </si>
  <si>
    <t>fibrinolysis (GO:0042730)</t>
  </si>
  <si>
    <t>positive regulation of nitric oxide biosynthetic process (GO:0045429)</t>
  </si>
  <si>
    <t>response to zinc ion (GO:0010043)</t>
  </si>
  <si>
    <t>response to vitamin (GO:0033273)</t>
  </si>
  <si>
    <t>modified amino acid metabolic process (GO:0006575)</t>
  </si>
  <si>
    <t>response to nutrient (GO:0007584)</t>
  </si>
  <si>
    <t>collagen biosynthetic process (GO:0032964)</t>
  </si>
  <si>
    <t>positive regulation of oxidative stress-induced neuron intrinsic apoptotic signaling pathway (GO:1903378)</t>
  </si>
  <si>
    <t>elastic fiber assembly (GO:0048251)</t>
  </si>
  <si>
    <t>peptidyl-lysine hydroxylation (GO:0017185)</t>
  </si>
  <si>
    <t>protein hydroxylation (GO:0018126)</t>
  </si>
  <si>
    <t>collagen metabolic process (GO:0032963)</t>
  </si>
  <si>
    <t>response to phenylpropanoid (GO:0080184)</t>
  </si>
  <si>
    <t>extracellular matrix organization (GO:0030198)</t>
  </si>
  <si>
    <t>extracellular structure organization (GO:0043062)</t>
  </si>
  <si>
    <t>actin filament organization (GO:0007015)</t>
  </si>
  <si>
    <t>actin-myosin filament sliding (GO:0033275)</t>
  </si>
  <si>
    <t>cardiac muscle contraction (GO:0060048)</t>
  </si>
  <si>
    <t>striated muscle contraction (GO:0006941)</t>
  </si>
  <si>
    <t>muscle contraction (GO:0006936)</t>
  </si>
  <si>
    <t>oxidative phosphorylation (GO:0006119)</t>
  </si>
  <si>
    <t>ATP synthesis coupled electron transport (GO:0042773)</t>
  </si>
  <si>
    <t>muscle system process (GO:0003012)</t>
  </si>
  <si>
    <t>regulation of intrinsic apoptotic signaling pathway (GO:2001242)</t>
  </si>
  <si>
    <t>muscle structure development (GO:0061061)</t>
  </si>
  <si>
    <t>cellular response to stress (GO:0033554)</t>
  </si>
  <si>
    <t>regulation of microtubule polymerization (GO:0031113)</t>
  </si>
  <si>
    <t>RNA splicing (GO:0008380)</t>
  </si>
  <si>
    <t>regulation of postsynapse organization (GO:0099175)</t>
  </si>
  <si>
    <t>mRNA processing (GO:0006397)</t>
  </si>
  <si>
    <t>nucleic acid biosynthetic process (GO:0141187)</t>
  </si>
  <si>
    <t>cytoskeleton organization (GO:0007010)</t>
  </si>
  <si>
    <t>neurogenesis (GO:0022008)</t>
  </si>
  <si>
    <t>nervous system development (GO:0007399)</t>
  </si>
  <si>
    <t>neuron differentiation (GO:0030182)</t>
  </si>
  <si>
    <t>gene expression (GO:0010467)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</si>
</sst>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8"/>
      <color theme="1"/>
      <name val="Arial  "/>
    </font>
    <font>
      <sz val="12"/>
      <color theme="1"/>
      <name val="Arial  "/>
    </font>
    <font>
      <sz val="12"/>
      <color theme="1"/>
      <name val="Arial   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1BA75-91E5-A944-AE1E-B277894DD7E3}">
  <dimension ref="A1:B15"/>
  <sheetViews>
    <sheetView workbookViewId="0">
      <selection activeCell="C19" sqref="A1:XFD1048576"/>
    </sheetView>
  </sheetViews>
  <sheetFormatPr baseColWidth="10" defaultRowHeight="16"/>
  <cols>
    <col min="1" max="16384" width="10.83203125" style="2"/>
  </cols>
  <sheetData>
    <row r="1" spans="1:2" ht="23">
      <c r="A1" s="1" t="s">
        <v>0</v>
      </c>
      <c r="B1" s="1" t="s">
        <v>1</v>
      </c>
    </row>
    <row r="2" spans="1:2" ht="23">
      <c r="A2" s="1" t="s">
        <v>12</v>
      </c>
      <c r="B2" s="1">
        <v>6.2097148359999998</v>
      </c>
    </row>
    <row r="3" spans="1:2" ht="23">
      <c r="A3" s="1" t="s">
        <v>11</v>
      </c>
      <c r="B3" s="1">
        <v>4.1636758839999999</v>
      </c>
    </row>
    <row r="4" spans="1:2" ht="23">
      <c r="A4" s="1" t="s">
        <v>14</v>
      </c>
      <c r="B4" s="1">
        <v>3.7166987709999999</v>
      </c>
    </row>
    <row r="5" spans="1:2" ht="23">
      <c r="A5" s="1" t="s">
        <v>15</v>
      </c>
      <c r="B5" s="1">
        <v>3.4710833000000001</v>
      </c>
    </row>
    <row r="6" spans="1:2" ht="23">
      <c r="A6" s="1" t="s">
        <v>9</v>
      </c>
      <c r="B6" s="1">
        <v>2.7423214250000001</v>
      </c>
    </row>
    <row r="7" spans="1:2" ht="23">
      <c r="A7" s="1" t="s">
        <v>10</v>
      </c>
      <c r="B7" s="1">
        <v>2.3946949540000002</v>
      </c>
    </row>
    <row r="8" spans="1:2" ht="23">
      <c r="A8" s="1" t="s">
        <v>13</v>
      </c>
      <c r="B8" s="1">
        <v>2.3746875489999999</v>
      </c>
    </row>
    <row r="9" spans="1:2" ht="23">
      <c r="A9" s="1" t="s">
        <v>8</v>
      </c>
      <c r="B9" s="1">
        <v>2.3685562309999999</v>
      </c>
    </row>
    <row r="10" spans="1:2" ht="23">
      <c r="A10" s="1" t="s">
        <v>4</v>
      </c>
      <c r="B10" s="1">
        <v>1.8446639629999999</v>
      </c>
    </row>
    <row r="11" spans="1:2" ht="23">
      <c r="A11" s="1" t="s">
        <v>3</v>
      </c>
      <c r="B11" s="1">
        <v>1.806875402</v>
      </c>
    </row>
    <row r="12" spans="1:2" ht="23">
      <c r="A12" s="1" t="s">
        <v>5</v>
      </c>
      <c r="B12" s="1">
        <v>1.707743929</v>
      </c>
    </row>
    <row r="13" spans="1:2" ht="23">
      <c r="A13" s="1" t="s">
        <v>6</v>
      </c>
      <c r="B13" s="1">
        <v>1.477555766</v>
      </c>
    </row>
    <row r="14" spans="1:2" ht="23">
      <c r="A14" s="1" t="s">
        <v>7</v>
      </c>
      <c r="B14" s="1">
        <v>1.444905551</v>
      </c>
    </row>
    <row r="15" spans="1:2" ht="23">
      <c r="A15" s="1" t="s">
        <v>2</v>
      </c>
      <c r="B15" s="1">
        <v>1.37675071</v>
      </c>
    </row>
  </sheetData>
  <conditionalFormatting sqref="A1:A15">
    <cfRule type="duplicateValues" dxfId="1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1875-9834-0545-BFB7-856AE2BFADB0}">
  <dimension ref="A1:B18"/>
  <sheetViews>
    <sheetView workbookViewId="0">
      <selection activeCell="A16" sqref="A16"/>
    </sheetView>
  </sheetViews>
  <sheetFormatPr baseColWidth="10" defaultRowHeight="16"/>
  <cols>
    <col min="1" max="16384" width="10.83203125" style="3"/>
  </cols>
  <sheetData>
    <row r="1" spans="1:2">
      <c r="A1" s="3" t="s">
        <v>0</v>
      </c>
      <c r="B1" s="3" t="s">
        <v>1</v>
      </c>
    </row>
    <row r="2" spans="1:2">
      <c r="A2" s="3" t="s">
        <v>12</v>
      </c>
      <c r="B2" s="3">
        <v>7.0150228739999996</v>
      </c>
    </row>
    <row r="3" spans="1:2">
      <c r="A3" s="3" t="s">
        <v>14</v>
      </c>
      <c r="B3" s="3">
        <v>6.6675615400000003</v>
      </c>
    </row>
    <row r="4" spans="1:2">
      <c r="A4" s="3" t="s">
        <v>11</v>
      </c>
      <c r="B4" s="3">
        <v>5.6968039429999999</v>
      </c>
    </row>
    <row r="5" spans="1:2">
      <c r="A5" s="3" t="s">
        <v>15</v>
      </c>
      <c r="B5" s="3">
        <v>5.6307841429999996</v>
      </c>
    </row>
    <row r="6" spans="1:2">
      <c r="A6" s="3" t="s">
        <v>4</v>
      </c>
      <c r="B6" s="3">
        <v>4.5654310960000002</v>
      </c>
    </row>
    <row r="7" spans="1:2">
      <c r="A7" s="3" t="s">
        <v>9</v>
      </c>
      <c r="B7" s="3">
        <v>3.638272164</v>
      </c>
    </row>
    <row r="8" spans="1:2">
      <c r="A8" s="3" t="s">
        <v>26</v>
      </c>
      <c r="B8" s="3">
        <v>3.4571745730000001</v>
      </c>
    </row>
    <row r="9" spans="1:2">
      <c r="A9" s="3" t="s">
        <v>13</v>
      </c>
      <c r="B9" s="3">
        <v>3.1797985409999998</v>
      </c>
    </row>
    <row r="10" spans="1:2">
      <c r="A10" s="3" t="s">
        <v>3</v>
      </c>
      <c r="B10" s="3">
        <v>3.1337126610000001</v>
      </c>
    </row>
    <row r="11" spans="1:2">
      <c r="A11" s="3" t="s">
        <v>18</v>
      </c>
      <c r="B11" s="3">
        <v>2.974694135</v>
      </c>
    </row>
    <row r="12" spans="1:2">
      <c r="A12" s="3" t="s">
        <v>17</v>
      </c>
      <c r="B12" s="3">
        <v>2.879426069</v>
      </c>
    </row>
    <row r="13" spans="1:2">
      <c r="A13" s="3" t="s">
        <v>20</v>
      </c>
      <c r="B13" s="3">
        <v>2.3496924770000001</v>
      </c>
    </row>
    <row r="14" spans="1:2">
      <c r="A14" s="3" t="s">
        <v>21</v>
      </c>
      <c r="B14" s="3">
        <v>2.3187587629999999</v>
      </c>
    </row>
    <row r="15" spans="1:2">
      <c r="A15" s="3" t="s">
        <v>25</v>
      </c>
      <c r="B15" s="3">
        <v>1.9355420109999999</v>
      </c>
    </row>
    <row r="16" spans="1:2">
      <c r="A16" s="3" t="s">
        <v>19</v>
      </c>
      <c r="B16" s="3">
        <v>1.769551079</v>
      </c>
    </row>
    <row r="17" spans="1:2">
      <c r="A17" s="3" t="s">
        <v>22</v>
      </c>
      <c r="B17" s="3">
        <v>1.5900668769999999</v>
      </c>
    </row>
    <row r="18" spans="1:2">
      <c r="A18" s="3" t="s">
        <v>23</v>
      </c>
      <c r="B18" s="3">
        <v>1.4248121549999999</v>
      </c>
    </row>
  </sheetData>
  <conditionalFormatting sqref="A1:A1048312">
    <cfRule type="duplicateValues" dxfId="9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884DE-A04E-E244-B897-D622CE24E0BE}">
  <dimension ref="A1:B19"/>
  <sheetViews>
    <sheetView workbookViewId="0">
      <selection activeCell="B14" sqref="B14"/>
    </sheetView>
  </sheetViews>
  <sheetFormatPr baseColWidth="10" defaultRowHeight="16"/>
  <sheetData>
    <row r="1" spans="1:2">
      <c r="A1" s="3" t="s">
        <v>0</v>
      </c>
      <c r="B1" s="3" t="s">
        <v>1</v>
      </c>
    </row>
    <row r="2" spans="1:2">
      <c r="A2" s="3" t="s">
        <v>12</v>
      </c>
      <c r="B2" s="3">
        <v>6.4698003020000003</v>
      </c>
    </row>
    <row r="3" spans="1:2">
      <c r="A3" s="3" t="s">
        <v>11</v>
      </c>
      <c r="B3" s="3">
        <v>3.6615435060000001</v>
      </c>
    </row>
    <row r="4" spans="1:2">
      <c r="A4" s="3" t="s">
        <v>15</v>
      </c>
      <c r="B4" s="3">
        <v>2.8996294549999999</v>
      </c>
    </row>
    <row r="5" spans="1:2">
      <c r="A5" s="3" t="s">
        <v>3</v>
      </c>
      <c r="B5" s="3">
        <v>2.6126101739999998</v>
      </c>
    </row>
    <row r="6" spans="1:2">
      <c r="A6" s="3" t="s">
        <v>14</v>
      </c>
      <c r="B6" s="3">
        <v>2.602059991</v>
      </c>
    </row>
    <row r="7" spans="1:2">
      <c r="A7" s="3" t="s">
        <v>13</v>
      </c>
      <c r="B7" s="3">
        <v>2.2831622770000002</v>
      </c>
    </row>
    <row r="8" spans="1:2">
      <c r="A8" s="3" t="s">
        <v>27</v>
      </c>
      <c r="B8" s="3">
        <v>1.6819366650000001</v>
      </c>
    </row>
    <row r="9" spans="1:2">
      <c r="A9" s="3" t="s">
        <v>4</v>
      </c>
      <c r="B9" s="3">
        <v>1.6695862269999999</v>
      </c>
    </row>
    <row r="10" spans="1:2">
      <c r="A10" s="3" t="s">
        <v>9</v>
      </c>
      <c r="B10" s="3">
        <v>1.645891561</v>
      </c>
    </row>
    <row r="11" spans="1:2">
      <c r="A11" s="3" t="s">
        <v>32</v>
      </c>
      <c r="B11" s="3">
        <v>1.610833916</v>
      </c>
    </row>
    <row r="12" spans="1:2">
      <c r="A12" s="3" t="s">
        <v>31</v>
      </c>
      <c r="B12" s="3">
        <v>1.602059991</v>
      </c>
    </row>
    <row r="13" spans="1:2">
      <c r="A13" s="3" t="s">
        <v>29</v>
      </c>
      <c r="B13" s="3">
        <v>1.5376020020000001</v>
      </c>
    </row>
    <row r="14" spans="1:2">
      <c r="A14" s="3" t="s">
        <v>28</v>
      </c>
      <c r="B14" s="3">
        <v>1.530177984</v>
      </c>
    </row>
    <row r="15" spans="1:2">
      <c r="A15" s="3" t="s">
        <v>30</v>
      </c>
      <c r="B15" s="3">
        <v>1.530177984</v>
      </c>
    </row>
    <row r="16" spans="1:2">
      <c r="A16" s="3" t="s">
        <v>33</v>
      </c>
      <c r="B16" s="3">
        <v>1.5257837359999999</v>
      </c>
    </row>
    <row r="17" spans="1:2">
      <c r="A17" s="3" t="s">
        <v>34</v>
      </c>
      <c r="B17" s="3">
        <v>1.500312917</v>
      </c>
    </row>
    <row r="18" spans="1:2">
      <c r="A18" s="3" t="s">
        <v>35</v>
      </c>
      <c r="B18" s="3">
        <v>1.37675071</v>
      </c>
    </row>
    <row r="19" spans="1:2">
      <c r="A19" s="3"/>
      <c r="B19" s="3"/>
    </row>
  </sheetData>
  <conditionalFormatting sqref="A20:A1048519">
    <cfRule type="duplicateValues" dxfId="8" priority="2"/>
  </conditionalFormatting>
  <conditionalFormatting sqref="A1:A19">
    <cfRule type="duplicateValues" dxfId="2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044AF-F9F9-8C4B-AD7C-EB0218A4F913}">
  <dimension ref="A1:B15"/>
  <sheetViews>
    <sheetView workbookViewId="0">
      <selection activeCell="B15" sqref="A1:B15"/>
    </sheetView>
  </sheetViews>
  <sheetFormatPr baseColWidth="10" defaultRowHeight="16"/>
  <sheetData>
    <row r="1" spans="1:2">
      <c r="A1" s="3" t="s">
        <v>0</v>
      </c>
      <c r="B1" s="3" t="s">
        <v>1</v>
      </c>
    </row>
    <row r="2" spans="1:2">
      <c r="A2" s="3" t="s">
        <v>4</v>
      </c>
      <c r="B2" s="3">
        <v>5.8664610919999998</v>
      </c>
    </row>
    <row r="3" spans="1:2">
      <c r="A3" s="3" t="s">
        <v>11</v>
      </c>
      <c r="B3" s="3">
        <v>5.7055337740000001</v>
      </c>
    </row>
    <row r="4" spans="1:2">
      <c r="A4" s="3" t="s">
        <v>3</v>
      </c>
      <c r="B4" s="3">
        <v>5.6989700040000004</v>
      </c>
    </row>
    <row r="5" spans="1:2">
      <c r="A5" s="3" t="s">
        <v>12</v>
      </c>
      <c r="B5" s="3">
        <v>3.790484985</v>
      </c>
    </row>
    <row r="6" spans="1:2">
      <c r="A6" s="3" t="s">
        <v>14</v>
      </c>
      <c r="B6" s="3">
        <v>3.777283529</v>
      </c>
    </row>
    <row r="7" spans="1:2">
      <c r="A7" s="3" t="s">
        <v>36</v>
      </c>
      <c r="B7" s="3">
        <v>3.71219827</v>
      </c>
    </row>
    <row r="8" spans="1:2">
      <c r="A8" s="3" t="s">
        <v>9</v>
      </c>
      <c r="B8" s="3">
        <v>2.5030703519999999</v>
      </c>
    </row>
    <row r="9" spans="1:2">
      <c r="A9" s="3" t="s">
        <v>41</v>
      </c>
      <c r="B9" s="3">
        <v>2.279840697</v>
      </c>
    </row>
    <row r="10" spans="1:2">
      <c r="A10" s="3" t="s">
        <v>39</v>
      </c>
      <c r="B10" s="3">
        <v>2.2749054790000001</v>
      </c>
    </row>
    <row r="11" spans="1:2">
      <c r="A11" s="3" t="s">
        <v>15</v>
      </c>
      <c r="B11" s="3">
        <v>2.1463017880000002</v>
      </c>
    </row>
    <row r="12" spans="1:2">
      <c r="A12" s="3" t="s">
        <v>37</v>
      </c>
      <c r="B12" s="3">
        <v>1.835647144</v>
      </c>
    </row>
    <row r="13" spans="1:2">
      <c r="A13" s="3" t="s">
        <v>13</v>
      </c>
      <c r="B13" s="3">
        <v>1.6363880200000001</v>
      </c>
    </row>
    <row r="14" spans="1:2">
      <c r="A14" s="3" t="s">
        <v>40</v>
      </c>
      <c r="B14" s="3">
        <v>1.576754126</v>
      </c>
    </row>
    <row r="15" spans="1:2">
      <c r="A15" s="3" t="s">
        <v>38</v>
      </c>
      <c r="B15" s="3">
        <v>1.4485500019999999</v>
      </c>
    </row>
  </sheetData>
  <conditionalFormatting sqref="A1:A1048496">
    <cfRule type="duplicateValues" dxfId="7" priority="1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9FF9E-F31E-0D49-9C77-166162991BB3}">
  <dimension ref="A1:B13"/>
  <sheetViews>
    <sheetView workbookViewId="0">
      <selection activeCell="A10" sqref="A1:B13"/>
    </sheetView>
  </sheetViews>
  <sheetFormatPr baseColWidth="10" defaultRowHeight="16"/>
  <cols>
    <col min="1" max="1" width="87.6640625" bestFit="1" customWidth="1"/>
  </cols>
  <sheetData>
    <row r="1" spans="1:2">
      <c r="A1" s="3" t="s">
        <v>0</v>
      </c>
      <c r="B1" s="3" t="s">
        <v>1</v>
      </c>
    </row>
    <row r="2" spans="1:2">
      <c r="A2" s="3" t="s">
        <v>47</v>
      </c>
      <c r="B2" s="3">
        <v>8.0909791460000005</v>
      </c>
    </row>
    <row r="3" spans="1:2">
      <c r="A3" s="3" t="s">
        <v>50</v>
      </c>
      <c r="B3" s="3">
        <v>8</v>
      </c>
    </row>
    <row r="4" spans="1:2">
      <c r="A4" s="3" t="s">
        <v>49</v>
      </c>
      <c r="B4" s="3">
        <v>7.9393021600000004</v>
      </c>
    </row>
    <row r="5" spans="1:2">
      <c r="A5" s="3" t="s">
        <v>42</v>
      </c>
      <c r="B5" s="3">
        <v>5.9244530390000003</v>
      </c>
    </row>
    <row r="6" spans="1:2">
      <c r="A6" s="3" t="s">
        <v>44</v>
      </c>
      <c r="B6" s="3">
        <v>4.0996328709999998</v>
      </c>
    </row>
    <row r="7" spans="1:2">
      <c r="A7" s="3" t="s">
        <v>24</v>
      </c>
      <c r="B7" s="3">
        <v>3.6497519820000002</v>
      </c>
    </row>
    <row r="8" spans="1:2">
      <c r="A8" s="3" t="s">
        <v>16</v>
      </c>
      <c r="B8" s="3">
        <v>2.9507819770000001</v>
      </c>
    </row>
    <row r="9" spans="1:2">
      <c r="A9" s="3" t="s">
        <v>46</v>
      </c>
      <c r="B9" s="3">
        <v>2.8696662320000002</v>
      </c>
    </row>
    <row r="10" spans="1:2">
      <c r="A10" s="3" t="s">
        <v>45</v>
      </c>
      <c r="B10" s="3">
        <v>2.6695862269999999</v>
      </c>
    </row>
    <row r="11" spans="1:2">
      <c r="A11" s="3" t="s">
        <v>48</v>
      </c>
      <c r="B11" s="3">
        <v>1.565431096</v>
      </c>
    </row>
    <row r="12" spans="1:2">
      <c r="A12" s="3" t="s">
        <v>51</v>
      </c>
      <c r="B12" s="3">
        <v>1.515700161</v>
      </c>
    </row>
    <row r="13" spans="1:2">
      <c r="A13" s="3" t="s">
        <v>43</v>
      </c>
      <c r="B13" s="3">
        <v>1.488116639</v>
      </c>
    </row>
  </sheetData>
  <conditionalFormatting sqref="A1:A13">
    <cfRule type="duplicateValues" dxfId="6" priority="1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56EE-6BAE-4E41-9395-76832097F5F7}">
  <dimension ref="A1:B20"/>
  <sheetViews>
    <sheetView workbookViewId="0">
      <selection activeCell="B1" sqref="B1"/>
    </sheetView>
  </sheetViews>
  <sheetFormatPr baseColWidth="10" defaultRowHeight="16"/>
  <cols>
    <col min="1" max="16384" width="10.83203125" style="3"/>
  </cols>
  <sheetData>
    <row r="1" spans="1:2">
      <c r="A1" s="3" t="s">
        <v>0</v>
      </c>
      <c r="B1" s="3" t="s">
        <v>1</v>
      </c>
    </row>
    <row r="2" spans="1:2">
      <c r="A2" s="3" t="s">
        <v>47</v>
      </c>
      <c r="B2" s="3">
        <v>6.8860566480000003</v>
      </c>
    </row>
    <row r="3" spans="1:2">
      <c r="A3" s="3" t="s">
        <v>54</v>
      </c>
      <c r="B3" s="3">
        <v>6.8181564120000004</v>
      </c>
    </row>
    <row r="4" spans="1:2">
      <c r="A4" s="3" t="s">
        <v>55</v>
      </c>
      <c r="B4" s="3">
        <v>6.5543957969999997</v>
      </c>
    </row>
    <row r="5" spans="1:2">
      <c r="A5" s="3" t="s">
        <v>60</v>
      </c>
      <c r="B5" s="3">
        <v>5.9100948889999998</v>
      </c>
    </row>
    <row r="6" spans="1:2">
      <c r="A6" s="3" t="s">
        <v>58</v>
      </c>
      <c r="B6" s="3">
        <v>5.5228787449999999</v>
      </c>
    </row>
    <row r="7" spans="1:2">
      <c r="A7" s="3" t="s">
        <v>53</v>
      </c>
      <c r="B7" s="3">
        <v>4.9507819770000001</v>
      </c>
    </row>
    <row r="8" spans="1:2">
      <c r="A8" s="3" t="s">
        <v>42</v>
      </c>
      <c r="B8" s="3">
        <v>4.2182446249999996</v>
      </c>
    </row>
    <row r="9" spans="1:2">
      <c r="A9" s="3" t="s">
        <v>52</v>
      </c>
      <c r="B9" s="3">
        <v>3.5044556619999998</v>
      </c>
    </row>
    <row r="10" spans="1:2">
      <c r="A10" s="3" t="s">
        <v>56</v>
      </c>
      <c r="B10" s="3">
        <v>3.3861581780000001</v>
      </c>
    </row>
    <row r="11" spans="1:2">
      <c r="A11" s="3" t="s">
        <v>24</v>
      </c>
      <c r="B11" s="3">
        <v>3.37675071</v>
      </c>
    </row>
    <row r="12" spans="1:2">
      <c r="A12" s="3" t="s">
        <v>49</v>
      </c>
      <c r="B12" s="3">
        <v>3.0893755949999999</v>
      </c>
    </row>
    <row r="13" spans="1:2">
      <c r="A13" s="3" t="s">
        <v>50</v>
      </c>
      <c r="B13" s="3">
        <v>3.078313525</v>
      </c>
    </row>
    <row r="14" spans="1:2">
      <c r="A14" s="3" t="s">
        <v>44</v>
      </c>
      <c r="B14" s="3">
        <v>3.0218194829999998</v>
      </c>
    </row>
    <row r="15" spans="1:2">
      <c r="A15" s="3" t="s">
        <v>46</v>
      </c>
      <c r="B15" s="3">
        <v>2.8664610920000002</v>
      </c>
    </row>
    <row r="16" spans="1:2">
      <c r="A16" s="3" t="s">
        <v>59</v>
      </c>
      <c r="B16" s="3">
        <v>2.0726296369999999</v>
      </c>
    </row>
    <row r="17" spans="1:2">
      <c r="A17" s="3" t="s">
        <v>57</v>
      </c>
      <c r="B17" s="3">
        <v>1.93930216</v>
      </c>
    </row>
    <row r="18" spans="1:2">
      <c r="A18" s="3" t="s">
        <v>61</v>
      </c>
      <c r="B18" s="3">
        <v>1.93930216</v>
      </c>
    </row>
    <row r="19" spans="1:2">
      <c r="A19" s="3" t="s">
        <v>45</v>
      </c>
      <c r="B19" s="3">
        <v>1.9281179930000001</v>
      </c>
    </row>
    <row r="20" spans="1:2">
      <c r="A20" s="3" t="s">
        <v>51</v>
      </c>
      <c r="B20" s="3">
        <v>1.4571745730000001</v>
      </c>
    </row>
  </sheetData>
  <conditionalFormatting sqref="A1:A20">
    <cfRule type="duplicateValues" dxfId="5" priority="1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1F030-FCE7-F44B-A04D-9122A7603AE3}">
  <dimension ref="A1:B10"/>
  <sheetViews>
    <sheetView workbookViewId="0">
      <selection activeCell="B1" sqref="A1:B1048576"/>
    </sheetView>
  </sheetViews>
  <sheetFormatPr baseColWidth="10" defaultRowHeight="16"/>
  <cols>
    <col min="1" max="2" width="10.83203125" style="3"/>
  </cols>
  <sheetData>
    <row r="1" spans="1:2">
      <c r="A1" s="3" t="s">
        <v>0</v>
      </c>
      <c r="B1" s="3" t="s">
        <v>1</v>
      </c>
    </row>
    <row r="2" spans="1:2">
      <c r="A2" s="3" t="s">
        <v>50</v>
      </c>
      <c r="B2" s="3">
        <v>7.9208187539999999</v>
      </c>
    </row>
    <row r="3" spans="1:2">
      <c r="A3" s="3" t="s">
        <v>49</v>
      </c>
      <c r="B3" s="3">
        <v>7.8446639630000004</v>
      </c>
    </row>
    <row r="4" spans="1:2">
      <c r="A4" s="3" t="s">
        <v>47</v>
      </c>
      <c r="B4" s="3">
        <v>6.7011469239999997</v>
      </c>
    </row>
    <row r="5" spans="1:2">
      <c r="A5" s="3" t="s">
        <v>44</v>
      </c>
      <c r="B5" s="3">
        <v>3.974694135</v>
      </c>
    </row>
    <row r="6" spans="1:2">
      <c r="A6" s="3" t="s">
        <v>42</v>
      </c>
      <c r="B6" s="3">
        <v>3.8446639629999999</v>
      </c>
    </row>
    <row r="7" spans="1:2">
      <c r="A7" s="3" t="s">
        <v>24</v>
      </c>
      <c r="B7" s="3">
        <v>2.7878123960000001</v>
      </c>
    </row>
    <row r="8" spans="1:2">
      <c r="A8" s="3" t="s">
        <v>46</v>
      </c>
      <c r="B8" s="3">
        <v>2.7099653890000002</v>
      </c>
    </row>
    <row r="9" spans="1:2">
      <c r="A9" s="3" t="s">
        <v>45</v>
      </c>
      <c r="B9" s="3">
        <v>2.4788619160000001</v>
      </c>
    </row>
    <row r="10" spans="1:2">
      <c r="A10" s="3" t="s">
        <v>51</v>
      </c>
      <c r="B10" s="3">
        <v>1.316052869</v>
      </c>
    </row>
  </sheetData>
  <conditionalFormatting sqref="A1:A1048544">
    <cfRule type="duplicateValues" dxfId="4" priority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E68E0-2F7F-6E4D-B8D1-197755F7D657}">
  <dimension ref="A1:B20"/>
  <sheetViews>
    <sheetView tabSelected="1" workbookViewId="0">
      <selection activeCell="C14" sqref="A1:XFD1048576"/>
    </sheetView>
  </sheetViews>
  <sheetFormatPr baseColWidth="10" defaultRowHeight="16"/>
  <cols>
    <col min="1" max="16384" width="10.83203125" style="3"/>
  </cols>
  <sheetData>
    <row r="1" spans="1:2">
      <c r="A1" s="3" t="s">
        <v>0</v>
      </c>
      <c r="B1" s="3" t="s">
        <v>1</v>
      </c>
    </row>
    <row r="2" spans="1:2">
      <c r="A2" s="3" t="s">
        <v>47</v>
      </c>
      <c r="B2" s="3">
        <v>8.0324520239999995</v>
      </c>
    </row>
    <row r="3" spans="1:2">
      <c r="A3" s="3" t="s">
        <v>63</v>
      </c>
      <c r="B3" s="3">
        <v>7.0329202659999996</v>
      </c>
    </row>
    <row r="4" spans="1:2">
      <c r="A4" s="3" t="s">
        <v>65</v>
      </c>
      <c r="B4" s="3">
        <v>7.0118871599999997</v>
      </c>
    </row>
    <row r="5" spans="1:2">
      <c r="A5" s="3" t="s">
        <v>50</v>
      </c>
      <c r="B5" s="3">
        <v>7.0092173080000002</v>
      </c>
    </row>
    <row r="6" spans="1:2">
      <c r="A6" s="3" t="s">
        <v>49</v>
      </c>
      <c r="B6" s="3">
        <v>7.0078885120000001</v>
      </c>
    </row>
    <row r="7" spans="1:2">
      <c r="A7" s="3" t="s">
        <v>69</v>
      </c>
      <c r="B7" s="3">
        <v>5.8664610919999998</v>
      </c>
    </row>
    <row r="8" spans="1:2">
      <c r="A8" s="3" t="s">
        <v>66</v>
      </c>
      <c r="B8" s="3">
        <v>5.1301817920000001</v>
      </c>
    </row>
    <row r="9" spans="1:2">
      <c r="A9" s="3" t="s">
        <v>71</v>
      </c>
      <c r="B9" s="3">
        <v>5.0700704400000003</v>
      </c>
    </row>
    <row r="10" spans="1:2">
      <c r="A10" s="3" t="s">
        <v>42</v>
      </c>
      <c r="B10" s="3">
        <v>4.9546770210000002</v>
      </c>
    </row>
    <row r="11" spans="1:2">
      <c r="A11" s="3" t="s">
        <v>46</v>
      </c>
      <c r="B11" s="3">
        <v>4.777283529</v>
      </c>
    </row>
    <row r="12" spans="1:2">
      <c r="A12" s="3" t="s">
        <v>68</v>
      </c>
      <c r="B12" s="3">
        <v>4.4388986160000004</v>
      </c>
    </row>
    <row r="13" spans="1:2">
      <c r="A13" s="3" t="s">
        <v>67</v>
      </c>
      <c r="B13" s="3">
        <v>4.2518119729999997</v>
      </c>
    </row>
    <row r="14" spans="1:2">
      <c r="A14" s="3" t="s">
        <v>51</v>
      </c>
      <c r="B14" s="3">
        <v>4.1140736599999999</v>
      </c>
    </row>
    <row r="15" spans="1:2">
      <c r="A15" s="3" t="s">
        <v>45</v>
      </c>
      <c r="B15" s="3">
        <v>3.9100948889999998</v>
      </c>
    </row>
    <row r="16" spans="1:2">
      <c r="A16" s="3" t="s">
        <v>44</v>
      </c>
      <c r="B16" s="3">
        <v>3.5482135640000001</v>
      </c>
    </row>
    <row r="17" spans="1:2">
      <c r="A17" s="3" t="s">
        <v>64</v>
      </c>
      <c r="B17" s="3">
        <v>2.8356471440000002</v>
      </c>
    </row>
    <row r="18" spans="1:2">
      <c r="A18" s="3" t="s">
        <v>62</v>
      </c>
      <c r="B18" s="3">
        <v>2.772113295</v>
      </c>
    </row>
    <row r="19" spans="1:2">
      <c r="A19" s="3" t="s">
        <v>24</v>
      </c>
      <c r="B19" s="3">
        <v>2.603800653</v>
      </c>
    </row>
    <row r="20" spans="1:2">
      <c r="A20" s="3" t="s">
        <v>70</v>
      </c>
      <c r="B20" s="3">
        <v>2.5199930570000002</v>
      </c>
    </row>
  </sheetData>
  <conditionalFormatting sqref="A1:A1048292">
    <cfRule type="duplicateValues" dxfId="3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bottom up in aged</vt:lpstr>
      <vt:lpstr>central up in aged</vt:lpstr>
      <vt:lpstr>peri up in aged</vt:lpstr>
      <vt:lpstr>top up in aged</vt:lpstr>
      <vt:lpstr>bottom up in young</vt:lpstr>
      <vt:lpstr>central up in young</vt:lpstr>
      <vt:lpstr>peri up in young</vt:lpstr>
      <vt:lpstr>top up in young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 Wang</dc:creator>
  <cp:lastModifiedBy>e67092</cp:lastModifiedBy>
  <dcterms:created xsi:type="dcterms:W3CDTF">2025-09-19T18:45:24Z</dcterms:created>
  <dcterms:modified xsi:type="dcterms:W3CDTF">2026-10-15T18:56:23Z</dcterms:modified>
</cp:coreProperties>
</file>