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utobi/Downloads/final analysis/final code/Script_7_mulltiple_factor_pathway/ORA age vs young grouped by sex and region/"/>
    </mc:Choice>
  </mc:AlternateContent>
  <xr:revisionPtr revIDLastSave="0" documentId="13_ncr:1_{59627F08-E0DB-7B4B-917A-FC897445F0EF}" xr6:coauthVersionLast="47" xr6:coauthVersionMax="47" xr10:uidLastSave="{00000000-0000-0000-0000-000000000000}"/>
  <bookViews>
    <workbookView xWindow="300" yWindow="3900" windowWidth="27640" windowHeight="16940" activeTab="5" xr2:uid="{94807485-D117-1C42-A349-7A386D4E46B2}"/>
  </bookViews>
  <sheets>
    <sheet name="male aged" sheetId="12" r:id="rId1"/>
    <sheet name="female aged" sheetId="13" r:id="rId2"/>
    <sheet name="aged summary" sheetId="14" r:id="rId3"/>
    <sheet name="male young" sheetId="18" r:id="rId4"/>
    <sheet name="female young" sheetId="21" r:id="rId5"/>
    <sheet name="young summary" sheetId="22" r:id="rId6"/>
  </sheets>
  <definedNames>
    <definedName name="_xlnm._FilterDatabase" localSheetId="2" hidden="1">'aged summary'!$A$1:$D$7</definedName>
    <definedName name="_xlnm._FilterDatabase" localSheetId="1" hidden="1">'female aged'!$A$1:$B$13</definedName>
    <definedName name="_xlnm._FilterDatabase" localSheetId="4" hidden="1">'female young'!$A$1:$B$22</definedName>
    <definedName name="_xlnm._FilterDatabase" localSheetId="0" hidden="1">'male aged'!$A$1:$B$13</definedName>
    <definedName name="_xlnm._FilterDatabase" localSheetId="3" hidden="1">'male young'!$A$1:$B$20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<sst xmlns="http://schemas.openxmlformats.org/spreadsheetml/2006/main" count="128" uniqueCount="42">
  <si>
    <t>Description</t>
  </si>
  <si>
    <t>Log10(FDR)</t>
  </si>
  <si>
    <t>regulation of nitric oxide metabolic process (GO:0080164)</t>
  </si>
  <si>
    <t>complement activation (GO:0006956)</t>
  </si>
  <si>
    <t>coagulation (GO:0050817)</t>
  </si>
  <si>
    <t>platelet activation (GO:0030168)</t>
  </si>
  <si>
    <t>response to wounding (GO:0009611)</t>
  </si>
  <si>
    <t>response to lipopolysaccharide (GO:0032496)</t>
  </si>
  <si>
    <t>response to steroid hormone (GO:0048545)</t>
  </si>
  <si>
    <t>inflammatory response (GO:0006954)</t>
  </si>
  <si>
    <t>regulation of protein polymerization (GO:0032271)</t>
  </si>
  <si>
    <t>regulation of cell adhesion (GO:0030155)</t>
  </si>
  <si>
    <t>response to cytokine (GO:0034097)</t>
  </si>
  <si>
    <t>response to stress (GO:0006950)</t>
  </si>
  <si>
    <t>transport (GO:0006810)</t>
  </si>
  <si>
    <t>male</t>
  </si>
  <si>
    <t>carbon dioxide transport (GO:0015670)</t>
  </si>
  <si>
    <t>multicellular organismal-level iron ion homeostasis (GO:0060586)</t>
  </si>
  <si>
    <t>cellular detoxification (GO:1990748)</t>
  </si>
  <si>
    <t>cilium organization (GO:0044782)</t>
  </si>
  <si>
    <t>cell projection assembly (GO:0030031)</t>
  </si>
  <si>
    <t>cellular component organization (GO:0016043)</t>
  </si>
  <si>
    <t>peptidyl-lysine oxidation (GO:0018057)</t>
  </si>
  <si>
    <t>phosphocreatine metabolic process (GO:0006603)</t>
  </si>
  <si>
    <t>Golgi transport vesicle coating (GO:0048200)</t>
  </si>
  <si>
    <t>elastic fiber assembly (GO:0048251)</t>
  </si>
  <si>
    <t>collagen biosynthetic process (GO:0032964)</t>
  </si>
  <si>
    <t>peptidyl-lysine hydroxylation (GO:0017185)</t>
  </si>
  <si>
    <t>extracellular matrix assembly (GO:0085029)</t>
  </si>
  <si>
    <t>regulation of mRNA processing (GO:0050684)</t>
  </si>
  <si>
    <t>cardiac muscle contraction (GO:0060048)</t>
  </si>
  <si>
    <t>extracellular matrix organization (GO:0030198)</t>
  </si>
  <si>
    <t>striated muscle contraction (GO:0006941)</t>
  </si>
  <si>
    <t>protein-RNA complex assembly (GO:0022618)</t>
  </si>
  <si>
    <t>muscle structure development (GO:0061061)</t>
  </si>
  <si>
    <t>actin filament-based process (GO:0030029)</t>
  </si>
  <si>
    <t>microtubule polymerization (GO:0046785)</t>
  </si>
  <si>
    <t>positive regulation of axon extension (GO:0045773)</t>
  </si>
  <si>
    <t>oxidative phosphorylation (GO:0006119)</t>
  </si>
  <si>
    <t>respiratory tube development (GO:0030323)</t>
  </si>
  <si>
    <t>respiratory system development (GO:0060541)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</si>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</sst>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sz val="18"/>
      <color theme="1"/>
      <name val="Arial"/>
      <family val="2"/>
    </font>
    <font>
      <sz val="12"/>
      <color theme="1"/>
      <name val="Arial"/>
      <family val="2"/>
    </font>
    <font>
      <sz val="20"/>
      <color theme="1"/>
      <name val="Arial"/>
      <family val="2"/>
    </font>
    <font>
      <sz val="18"/>
      <color theme="1"/>
      <name val="Arial   "/>
    </font>
    <font>
      <sz val="12"/>
      <color theme="1"/>
      <name val="Arial   "/>
    </font>
    <font>
      <sz val="18"/>
      <color theme="1"/>
      <name val="Arial  "/>
    </font>
    <font>
      <sz val="20"/>
      <color theme="1"/>
      <name val="Arial  "/>
    </font>
    <font>
      <sz val="12"/>
      <color theme="1"/>
      <name val="Arial  "/>
    </font>
    <font>
      <sz val="20"/>
      <color theme="1"/>
      <name val="Arial   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1" fillId="3" borderId="0" xfId="0" applyFont="1" applyFill="1"/>
    <xf numFmtId="0" fontId="1" fillId="2" borderId="0" xfId="0" applyFont="1" applyFill="1"/>
    <xf numFmtId="0" fontId="3" fillId="0" borderId="0" xfId="0" applyFont="1"/>
    <xf numFmtId="0" fontId="3" fillId="3" borderId="0" xfId="0" applyFont="1" applyFill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4" fillId="2" borderId="0" xfId="0" applyFont="1" applyFill="1"/>
    <xf numFmtId="0" fontId="4" fillId="3" borderId="0" xfId="0" applyFont="1" applyFill="1"/>
    <xf numFmtId="11" fontId="4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2" borderId="0" xfId="0" applyFont="1" applyFill="1"/>
    <xf numFmtId="0" fontId="7" fillId="3" borderId="0" xfId="0" applyFont="1" applyFill="1"/>
    <xf numFmtId="0" fontId="9" fillId="0" borderId="0" xfId="0" applyFont="1"/>
    <xf numFmtId="0" fontId="9" fillId="2" borderId="0" xfId="0" applyFont="1" applyFill="1"/>
    <xf numFmtId="0" fontId="9" fillId="3" borderId="0" xfId="0" applyFont="1" applyFill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E40E-CA43-714C-A522-F6EBB3CEAB24}">
  <sheetPr>
    <tabColor rgb="FF92D050"/>
  </sheetPr>
  <dimension ref="A1:K13"/>
  <sheetViews>
    <sheetView workbookViewId="0">
      <selection activeCell="A2" sqref="A2"/>
    </sheetView>
  </sheetViews>
  <sheetFormatPr baseColWidth="10" defaultRowHeight="16"/>
  <cols>
    <col min="1" max="1" width="47.6640625" style="9" bestFit="1" customWidth="1"/>
    <col min="2" max="2" width="18.1640625" style="9" bestFit="1" customWidth="1"/>
    <col min="3" max="5" width="10.83203125" style="9"/>
    <col min="6" max="6" width="71.83203125" style="9" bestFit="1" customWidth="1"/>
    <col min="7" max="16384" width="10.83203125" style="9"/>
  </cols>
  <sheetData>
    <row r="1" spans="1:11" ht="23">
      <c r="A1" s="8" t="s">
        <v>0</v>
      </c>
      <c r="B1" s="8" t="s">
        <v>1</v>
      </c>
      <c r="F1" s="8"/>
      <c r="G1" s="8"/>
    </row>
    <row r="2" spans="1:11" ht="23">
      <c r="A2" s="10" t="s">
        <v>4</v>
      </c>
      <c r="B2" s="8">
        <v>12.806875399999999</v>
      </c>
    </row>
    <row r="3" spans="1:11" ht="23">
      <c r="A3" s="10" t="s">
        <v>6</v>
      </c>
      <c r="B3" s="8">
        <v>12.447331780000001</v>
      </c>
    </row>
    <row r="4" spans="1:11" ht="23">
      <c r="A4" s="10" t="s">
        <v>13</v>
      </c>
      <c r="B4" s="8">
        <v>11.90308999</v>
      </c>
    </row>
    <row r="5" spans="1:11" ht="23">
      <c r="A5" s="11" t="s">
        <v>12</v>
      </c>
      <c r="B5" s="8">
        <v>8.0814454690000002</v>
      </c>
      <c r="H5" s="8"/>
      <c r="I5" s="8"/>
      <c r="J5" s="12"/>
      <c r="K5" s="12"/>
    </row>
    <row r="6" spans="1:11" ht="23">
      <c r="A6" s="11" t="s">
        <v>7</v>
      </c>
      <c r="B6" s="8">
        <v>7.6655462490000001</v>
      </c>
    </row>
    <row r="7" spans="1:11" ht="23">
      <c r="A7" s="11" t="s">
        <v>2</v>
      </c>
      <c r="B7" s="8">
        <v>6.8601209140000003</v>
      </c>
    </row>
    <row r="8" spans="1:11" ht="23">
      <c r="A8" s="11" t="s">
        <v>11</v>
      </c>
      <c r="B8" s="8">
        <v>5.9871627749999998</v>
      </c>
    </row>
    <row r="9" spans="1:11" ht="23">
      <c r="A9" s="11" t="s">
        <v>8</v>
      </c>
      <c r="B9" s="8">
        <v>5.3645162529999997</v>
      </c>
    </row>
    <row r="10" spans="1:11" ht="23">
      <c r="A10" s="10" t="s">
        <v>9</v>
      </c>
      <c r="B10" s="8">
        <v>5.0352690789999999</v>
      </c>
    </row>
    <row r="11" spans="1:11" ht="23">
      <c r="A11" s="10" t="s">
        <v>14</v>
      </c>
      <c r="B11" s="8">
        <v>4.0268721459999997</v>
      </c>
    </row>
    <row r="12" spans="1:11" ht="23">
      <c r="A12" s="11" t="s">
        <v>5</v>
      </c>
      <c r="B12" s="8">
        <v>3.7423214250000001</v>
      </c>
    </row>
    <row r="13" spans="1:11" ht="23">
      <c r="A13" s="10" t="s">
        <v>3</v>
      </c>
      <c r="B13" s="8">
        <v>3.657577319</v>
      </c>
    </row>
  </sheetData>
  <autoFilter ref="A1:B13" xr:uid="{43C9E40E-CA43-714C-A522-F6EBB3CEAB24}">
    <sortState xmlns:xlrd2="http://schemas.microsoft.com/office/spreadsheetml/2017/richdata2" ref="A2:B13">
      <sortCondition descending="1" ref="B1:B13"/>
    </sortState>
  </autoFilter>
  <conditionalFormatting sqref="A1:A7">
    <cfRule type="duplicateValues" dxfId="12" priority="4"/>
  </conditionalFormatting>
  <conditionalFormatting sqref="A11">
    <cfRule type="duplicateValues" dxfId="11" priority="1"/>
  </conditionalFormatting>
  <conditionalFormatting sqref="F1 A8:A10 F8:F1048198 A12:A13">
    <cfRule type="duplicateValues" dxfId="1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1368F-A029-0E4E-99C1-87EE0DDB0FB4}">
  <sheetPr>
    <tabColor rgb="FF92D050"/>
  </sheetPr>
  <dimension ref="A1:C13"/>
  <sheetViews>
    <sheetView workbookViewId="0">
      <selection activeCell="A16" sqref="A1:XFD1048576"/>
    </sheetView>
  </sheetViews>
  <sheetFormatPr baseColWidth="10" defaultRowHeight="16"/>
  <cols>
    <col min="1" max="1" width="53.83203125" style="9" customWidth="1"/>
    <col min="2" max="16384" width="10.83203125" style="9"/>
  </cols>
  <sheetData>
    <row r="1" spans="1:3" s="9" customFormat="1" ht="23">
      <c r="A1" s="8" t="s">
        <v>0</v>
      </c>
      <c r="B1" s="8" t="s">
        <v>1</v>
      </c>
      <c r="C1" s="8"/>
    </row>
    <row r="2" spans="1:3" s="9" customFormat="1" ht="23">
      <c r="A2" s="10" t="s">
        <v>14</v>
      </c>
      <c r="B2" s="8">
        <v>7.2358238679999998</v>
      </c>
      <c r="C2" s="8"/>
    </row>
    <row r="3" spans="1:3" s="9" customFormat="1" ht="23">
      <c r="A3" s="10" t="s">
        <v>6</v>
      </c>
      <c r="B3" s="8">
        <v>6.5917600350000001</v>
      </c>
      <c r="C3" s="8"/>
    </row>
    <row r="4" spans="1:3" s="9" customFormat="1" ht="23">
      <c r="A4" s="10" t="s">
        <v>13</v>
      </c>
      <c r="B4" s="8">
        <v>5.8761483590000001</v>
      </c>
      <c r="C4" s="8"/>
    </row>
    <row r="5" spans="1:3" s="9" customFormat="1" ht="23">
      <c r="A5" s="10" t="s">
        <v>4</v>
      </c>
      <c r="B5" s="8">
        <v>5.5243288120000003</v>
      </c>
      <c r="C5" s="8"/>
    </row>
    <row r="6" spans="1:3" s="9" customFormat="1" ht="23">
      <c r="A6" s="11" t="s">
        <v>21</v>
      </c>
      <c r="B6" s="8">
        <v>3.234331445</v>
      </c>
      <c r="C6" s="8"/>
    </row>
    <row r="7" spans="1:3" s="9" customFormat="1" ht="23">
      <c r="A7" s="11" t="s">
        <v>16</v>
      </c>
      <c r="B7" s="8">
        <v>3.1307682799999998</v>
      </c>
      <c r="C7" s="8"/>
    </row>
    <row r="8" spans="1:3" s="9" customFormat="1" ht="23">
      <c r="A8" s="11" t="s">
        <v>20</v>
      </c>
      <c r="B8" s="8">
        <v>2.645891561</v>
      </c>
      <c r="C8" s="8"/>
    </row>
    <row r="9" spans="1:3" s="9" customFormat="1" ht="23">
      <c r="A9" s="11" t="s">
        <v>17</v>
      </c>
      <c r="B9" s="8">
        <v>2.5751183630000001</v>
      </c>
      <c r="C9" s="8"/>
    </row>
    <row r="10" spans="1:3" s="9" customFormat="1" ht="23">
      <c r="A10" s="11" t="s">
        <v>19</v>
      </c>
      <c r="B10" s="8">
        <v>2.3269790929999998</v>
      </c>
      <c r="C10" s="8"/>
    </row>
    <row r="11" spans="1:3" s="9" customFormat="1" ht="23">
      <c r="A11" s="11" t="s">
        <v>18</v>
      </c>
      <c r="B11" s="8">
        <v>2.2839966559999998</v>
      </c>
      <c r="C11" s="8"/>
    </row>
    <row r="12" spans="1:3" s="9" customFormat="1" ht="23">
      <c r="A12" s="10" t="s">
        <v>3</v>
      </c>
      <c r="B12" s="8">
        <v>1.8601209139999999</v>
      </c>
      <c r="C12" s="8"/>
    </row>
    <row r="13" spans="1:3" s="9" customFormat="1" ht="23">
      <c r="A13" s="10" t="s">
        <v>9</v>
      </c>
      <c r="B13" s="8">
        <v>1.427128398</v>
      </c>
      <c r="C13" s="8"/>
    </row>
  </sheetData>
  <autoFilter ref="A1:B13" xr:uid="{35A1368F-A029-0E4E-99C1-87EE0DDB0FB4}">
    <sortState xmlns:xlrd2="http://schemas.microsoft.com/office/spreadsheetml/2017/richdata2" ref="A2:B13">
      <sortCondition descending="1" ref="B1:B13"/>
    </sortState>
  </autoFilter>
  <conditionalFormatting sqref="A1">
    <cfRule type="duplicateValues" dxfId="9" priority="1"/>
  </conditionalFormatting>
  <conditionalFormatting sqref="A2:A13">
    <cfRule type="duplicateValues" dxfId="8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2EEB8-408B-EC4C-AA6D-77BD1014BD9F}">
  <sheetPr>
    <tabColor rgb="FFFF0000"/>
  </sheetPr>
  <dimension ref="A1:D13"/>
  <sheetViews>
    <sheetView workbookViewId="0">
      <selection activeCell="D16" sqref="D16"/>
    </sheetView>
  </sheetViews>
  <sheetFormatPr baseColWidth="10" defaultRowHeight="16"/>
  <cols>
    <col min="1" max="16384" width="10.83203125" style="2"/>
  </cols>
  <sheetData>
    <row r="1" spans="1:4" ht="23">
      <c r="A1" s="1" t="s">
        <v>41</v>
      </c>
      <c r="B1" s="1" t="s">
        <v>1</v>
      </c>
      <c r="C1" s="1" t="s">
        <v>15</v>
      </c>
      <c r="D1" s="1" t="s">
        <v>1</v>
      </c>
    </row>
    <row r="2" spans="1:4" ht="23">
      <c r="A2" s="3" t="s">
        <v>18</v>
      </c>
      <c r="B2" s="1">
        <v>-2.2839966559999998</v>
      </c>
      <c r="C2" s="3" t="s">
        <v>5</v>
      </c>
      <c r="D2" s="1">
        <v>3.7423214250000001</v>
      </c>
    </row>
    <row r="3" spans="1:4" ht="23">
      <c r="A3" s="3" t="s">
        <v>19</v>
      </c>
      <c r="B3" s="1">
        <v>-2.3269790929999998</v>
      </c>
      <c r="C3" s="3" t="s">
        <v>8</v>
      </c>
      <c r="D3" s="1">
        <v>5.3645162529999997</v>
      </c>
    </row>
    <row r="4" spans="1:4" ht="23">
      <c r="A4" s="3" t="s">
        <v>17</v>
      </c>
      <c r="B4" s="1">
        <v>-2.5751183630000001</v>
      </c>
      <c r="C4" s="3" t="s">
        <v>11</v>
      </c>
      <c r="D4" s="1">
        <v>5.9871627749999998</v>
      </c>
    </row>
    <row r="5" spans="1:4" ht="23">
      <c r="A5" s="3" t="s">
        <v>20</v>
      </c>
      <c r="B5" s="1">
        <v>-2.645891561</v>
      </c>
      <c r="C5" s="3" t="s">
        <v>2</v>
      </c>
      <c r="D5" s="1">
        <v>6.8601209140000003</v>
      </c>
    </row>
    <row r="6" spans="1:4" ht="23">
      <c r="A6" s="3" t="s">
        <v>16</v>
      </c>
      <c r="B6" s="1">
        <v>-3.1307682799999998</v>
      </c>
      <c r="C6" s="3" t="s">
        <v>7</v>
      </c>
      <c r="D6" s="1">
        <v>7.6655462490000001</v>
      </c>
    </row>
    <row r="7" spans="1:4" ht="23">
      <c r="A7" s="3" t="s">
        <v>21</v>
      </c>
      <c r="B7" s="1">
        <v>-3.234331445</v>
      </c>
      <c r="C7" s="3" t="s">
        <v>12</v>
      </c>
      <c r="D7" s="1">
        <v>8.0814454690000002</v>
      </c>
    </row>
    <row r="8" spans="1:4" ht="23">
      <c r="A8" s="4" t="s">
        <v>9</v>
      </c>
      <c r="B8" s="1">
        <v>-1.427128398</v>
      </c>
      <c r="C8" s="4" t="s">
        <v>9</v>
      </c>
      <c r="D8" s="1">
        <v>5.0352690789999999</v>
      </c>
    </row>
    <row r="9" spans="1:4" ht="23">
      <c r="A9" s="4" t="s">
        <v>3</v>
      </c>
      <c r="B9" s="1">
        <v>-1.8601209139999999</v>
      </c>
      <c r="C9" s="4" t="s">
        <v>3</v>
      </c>
      <c r="D9" s="1">
        <v>3.657577319</v>
      </c>
    </row>
    <row r="10" spans="1:4" ht="23">
      <c r="A10" s="4" t="s">
        <v>4</v>
      </c>
      <c r="B10" s="1">
        <v>-5.5243288120000003</v>
      </c>
      <c r="C10" s="4" t="s">
        <v>4</v>
      </c>
      <c r="D10" s="1">
        <v>12.806875399999999</v>
      </c>
    </row>
    <row r="11" spans="1:4" ht="23">
      <c r="A11" s="4" t="s">
        <v>13</v>
      </c>
      <c r="B11" s="1">
        <v>-5.8761483590000001</v>
      </c>
      <c r="C11" s="4" t="s">
        <v>13</v>
      </c>
      <c r="D11" s="1">
        <v>11.90308999</v>
      </c>
    </row>
    <row r="12" spans="1:4" ht="23">
      <c r="A12" s="4" t="s">
        <v>6</v>
      </c>
      <c r="B12" s="1">
        <v>-6.5917600350000001</v>
      </c>
      <c r="C12" s="4" t="s">
        <v>6</v>
      </c>
      <c r="D12" s="1">
        <v>12.447331780000001</v>
      </c>
    </row>
    <row r="13" spans="1:4" ht="23">
      <c r="A13" s="4" t="s">
        <v>14</v>
      </c>
      <c r="B13" s="1">
        <v>-7.2358238679999998</v>
      </c>
      <c r="C13" s="4" t="s">
        <v>14</v>
      </c>
      <c r="D13" s="1">
        <v>4.0268721459999997</v>
      </c>
    </row>
  </sheetData>
  <autoFilter ref="A1:D7" xr:uid="{27D2EEB8-408B-EC4C-AA6D-77BD1014BD9F}"/>
  <conditionalFormatting sqref="A2:A7">
    <cfRule type="duplicateValues" dxfId="7" priority="4"/>
  </conditionalFormatting>
  <conditionalFormatting sqref="A8:A13 A1">
    <cfRule type="duplicateValues" dxfId="6" priority="7"/>
  </conditionalFormatting>
  <conditionalFormatting sqref="C1">
    <cfRule type="duplicateValues" dxfId="5" priority="1"/>
  </conditionalFormatting>
  <conditionalFormatting sqref="C2:C4 C6:C7">
    <cfRule type="duplicateValues" dxfId="4" priority="3"/>
  </conditionalFormatting>
  <conditionalFormatting sqref="C5">
    <cfRule type="duplicateValues" dxfId="3" priority="2"/>
  </conditionalFormatting>
  <conditionalFormatting sqref="C8:C13">
    <cfRule type="duplicateValues" dxfId="2" priority="5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4D965-D952-CE46-ABF2-FB436335D8AD}">
  <sheetPr>
    <tabColor rgb="FF92D050"/>
  </sheetPr>
  <dimension ref="A1:B20"/>
  <sheetViews>
    <sheetView workbookViewId="0">
      <selection activeCell="D13" sqref="A1:XFD1048576"/>
    </sheetView>
  </sheetViews>
  <sheetFormatPr baseColWidth="10" defaultRowHeight="16"/>
  <cols>
    <col min="1" max="1" width="70.83203125" style="15" bestFit="1" customWidth="1"/>
    <col min="2" max="16384" width="10.83203125" style="15"/>
  </cols>
  <sheetData>
    <row r="1" spans="1:2" ht="25">
      <c r="A1" s="13" t="s">
        <v>0</v>
      </c>
      <c r="B1" s="14" t="s">
        <v>1</v>
      </c>
    </row>
    <row r="2" spans="1:2" ht="25">
      <c r="A2" s="16" t="s">
        <v>29</v>
      </c>
      <c r="B2" s="14">
        <v>6.7033348100000003</v>
      </c>
    </row>
    <row r="3" spans="1:2" ht="25">
      <c r="A3" s="16" t="s">
        <v>31</v>
      </c>
      <c r="B3" s="14">
        <v>5.3151546380000001</v>
      </c>
    </row>
    <row r="4" spans="1:2" ht="25">
      <c r="A4" s="16" t="s">
        <v>35</v>
      </c>
      <c r="B4" s="14">
        <v>3.8696662320000002</v>
      </c>
    </row>
    <row r="5" spans="1:2" ht="25">
      <c r="A5" s="16" t="s">
        <v>34</v>
      </c>
      <c r="B5" s="14">
        <v>3.7695510790000002</v>
      </c>
    </row>
    <row r="6" spans="1:2" ht="25">
      <c r="A6" s="16" t="s">
        <v>25</v>
      </c>
      <c r="B6" s="14">
        <v>3.4236586500000001</v>
      </c>
    </row>
    <row r="7" spans="1:2" ht="25">
      <c r="A7" s="16" t="s">
        <v>26</v>
      </c>
      <c r="B7" s="14">
        <v>3.3151546380000001</v>
      </c>
    </row>
    <row r="8" spans="1:2" ht="25">
      <c r="A8" s="16" t="s">
        <v>28</v>
      </c>
      <c r="B8" s="14">
        <v>2.8860566479999998</v>
      </c>
    </row>
    <row r="9" spans="1:2" ht="25">
      <c r="A9" s="16" t="s">
        <v>10</v>
      </c>
      <c r="B9" s="14">
        <v>2.8632794330000002</v>
      </c>
    </row>
    <row r="10" spans="1:2" ht="25">
      <c r="A10" s="17" t="s">
        <v>33</v>
      </c>
      <c r="B10" s="14">
        <v>2.7077439289999998</v>
      </c>
    </row>
    <row r="11" spans="1:2" ht="25">
      <c r="A11" s="16" t="s">
        <v>27</v>
      </c>
      <c r="B11" s="14">
        <v>2.270025714</v>
      </c>
    </row>
    <row r="12" spans="1:2" ht="25">
      <c r="A12" s="16" t="s">
        <v>22</v>
      </c>
      <c r="B12" s="14">
        <v>1.728158393</v>
      </c>
    </row>
    <row r="13" spans="1:2" ht="25">
      <c r="A13" s="17" t="s">
        <v>24</v>
      </c>
      <c r="B13" s="14">
        <v>1.512861625</v>
      </c>
    </row>
    <row r="14" spans="1:2" ht="25">
      <c r="A14" s="16" t="s">
        <v>30</v>
      </c>
      <c r="B14" s="14">
        <v>1.510041521</v>
      </c>
    </row>
    <row r="15" spans="1:2" ht="25">
      <c r="A15" s="17" t="s">
        <v>23</v>
      </c>
      <c r="B15" s="14">
        <v>1.504455662</v>
      </c>
    </row>
    <row r="16" spans="1:2" ht="25">
      <c r="A16" s="16" t="s">
        <v>32</v>
      </c>
      <c r="B16" s="14">
        <v>1.5030703519999999</v>
      </c>
    </row>
    <row r="17" spans="1:2" ht="25">
      <c r="A17" s="14"/>
      <c r="B17" s="14"/>
    </row>
    <row r="20" spans="1:2" ht="25">
      <c r="A20" s="14"/>
      <c r="B20" s="14"/>
    </row>
  </sheetData>
  <autoFilter ref="A1:B20" xr:uid="{3454D965-D952-CE46-ABF2-FB436335D8AD}">
    <sortState xmlns:xlrd2="http://schemas.microsoft.com/office/spreadsheetml/2017/richdata2" ref="A2:B20">
      <sortCondition descending="1" ref="B1:B20"/>
    </sortState>
  </autoFilter>
  <conditionalFormatting sqref="A1">
    <cfRule type="duplicateValues" dxfId="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939BB-67CB-0345-BADC-4588898C5047}">
  <sheetPr>
    <tabColor rgb="FF92D050"/>
  </sheetPr>
  <dimension ref="A1:B22"/>
  <sheetViews>
    <sheetView workbookViewId="0">
      <selection activeCell="D12" sqref="A1:XFD1048576"/>
    </sheetView>
  </sheetViews>
  <sheetFormatPr baseColWidth="10" defaultRowHeight="16"/>
  <cols>
    <col min="1" max="1" width="70.83203125" style="9" bestFit="1" customWidth="1"/>
    <col min="2" max="16384" width="10.83203125" style="9"/>
  </cols>
  <sheetData>
    <row r="1" spans="1:2" ht="25">
      <c r="A1" s="8" t="s">
        <v>0</v>
      </c>
      <c r="B1" s="18" t="s">
        <v>1</v>
      </c>
    </row>
    <row r="2" spans="1:2" ht="25">
      <c r="A2" s="19" t="s">
        <v>32</v>
      </c>
      <c r="B2" s="18">
        <v>4.9469215569999996</v>
      </c>
    </row>
    <row r="3" spans="1:2" ht="25">
      <c r="A3" s="19" t="s">
        <v>35</v>
      </c>
      <c r="B3" s="18">
        <v>4.4145392699999997</v>
      </c>
    </row>
    <row r="4" spans="1:2" ht="25">
      <c r="A4" s="19" t="s">
        <v>29</v>
      </c>
      <c r="B4" s="18">
        <v>4.3027706569999999</v>
      </c>
    </row>
    <row r="5" spans="1:2" ht="25">
      <c r="A5" s="19" t="s">
        <v>30</v>
      </c>
      <c r="B5" s="18">
        <v>4.2418453779999998</v>
      </c>
    </row>
    <row r="6" spans="1:2" ht="25">
      <c r="A6" s="19" t="s">
        <v>31</v>
      </c>
      <c r="B6" s="18">
        <v>4.2146701650000002</v>
      </c>
    </row>
    <row r="7" spans="1:2" ht="25">
      <c r="A7" s="19" t="s">
        <v>26</v>
      </c>
      <c r="B7" s="18">
        <v>4.0213630519999999</v>
      </c>
    </row>
    <row r="8" spans="1:2" ht="25">
      <c r="A8" s="19" t="s">
        <v>10</v>
      </c>
      <c r="B8" s="18">
        <v>3.8961962790000002</v>
      </c>
    </row>
    <row r="9" spans="1:2" ht="25">
      <c r="A9" s="19" t="s">
        <v>34</v>
      </c>
      <c r="B9" s="18">
        <v>3.6439741429999999</v>
      </c>
    </row>
    <row r="10" spans="1:2" ht="25">
      <c r="A10" s="20" t="s">
        <v>39</v>
      </c>
      <c r="B10" s="18">
        <v>3.4179366369999999</v>
      </c>
    </row>
    <row r="11" spans="1:2" ht="25">
      <c r="A11" s="19" t="s">
        <v>27</v>
      </c>
      <c r="B11" s="18">
        <v>3.1505805859999998</v>
      </c>
    </row>
    <row r="12" spans="1:2" ht="25">
      <c r="A12" s="19" t="s">
        <v>28</v>
      </c>
      <c r="B12" s="18">
        <v>2.9507819770000001</v>
      </c>
    </row>
    <row r="13" spans="1:2" ht="25">
      <c r="A13" s="20" t="s">
        <v>40</v>
      </c>
      <c r="B13" s="18">
        <v>2.8961962790000002</v>
      </c>
    </row>
    <row r="14" spans="1:2" ht="25">
      <c r="A14" s="19" t="s">
        <v>25</v>
      </c>
      <c r="B14" s="18">
        <v>2.8239087409999999</v>
      </c>
    </row>
    <row r="15" spans="1:2" ht="25">
      <c r="A15" s="20" t="s">
        <v>38</v>
      </c>
      <c r="B15" s="18">
        <v>2.7447274949999998</v>
      </c>
    </row>
    <row r="16" spans="1:2" ht="25">
      <c r="A16" s="20" t="s">
        <v>37</v>
      </c>
      <c r="B16" s="18">
        <v>1.9430951489999999</v>
      </c>
    </row>
    <row r="17" spans="1:2" ht="25">
      <c r="A17" s="20" t="s">
        <v>36</v>
      </c>
      <c r="B17" s="18">
        <v>1.555955204</v>
      </c>
    </row>
    <row r="18" spans="1:2" ht="25">
      <c r="A18" s="19" t="s">
        <v>22</v>
      </c>
      <c r="B18" s="18">
        <v>1.5114492829999999</v>
      </c>
    </row>
    <row r="22" spans="1:2" ht="25">
      <c r="B22" s="18"/>
    </row>
  </sheetData>
  <autoFilter ref="A1:B22" xr:uid="{6FB939BB-67CB-0345-BADC-4588898C5047}">
    <sortState xmlns:xlrd2="http://schemas.microsoft.com/office/spreadsheetml/2017/richdata2" ref="A2:B22">
      <sortCondition descending="1" ref="B1:B22"/>
    </sortState>
  </autoFilter>
  <conditionalFormatting sqref="A1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A6122-F91A-AA46-95EF-DB023E5F84A1}">
  <sheetPr>
    <tabColor rgb="FFFF0000"/>
  </sheetPr>
  <dimension ref="A1:D18"/>
  <sheetViews>
    <sheetView tabSelected="1" workbookViewId="0">
      <selection activeCell="G10" sqref="G10"/>
    </sheetView>
  </sheetViews>
  <sheetFormatPr baseColWidth="10" defaultRowHeight="16"/>
  <cols>
    <col min="1" max="16384" width="10.83203125" style="2"/>
  </cols>
  <sheetData>
    <row r="1" spans="1:4" ht="25">
      <c r="A1" s="5" t="s">
        <v>41</v>
      </c>
      <c r="B1" s="5" t="s">
        <v>1</v>
      </c>
      <c r="C1" s="5" t="s">
        <v>15</v>
      </c>
      <c r="D1" s="5" t="s">
        <v>1</v>
      </c>
    </row>
    <row r="2" spans="1:4" ht="25">
      <c r="A2" s="6" t="s">
        <v>36</v>
      </c>
      <c r="B2" s="5">
        <v>-1.555955204</v>
      </c>
    </row>
    <row r="3" spans="1:4" ht="25">
      <c r="A3" s="6" t="s">
        <v>37</v>
      </c>
      <c r="B3" s="5">
        <v>-1.9430951489999999</v>
      </c>
    </row>
    <row r="4" spans="1:4" ht="25">
      <c r="A4" s="6" t="s">
        <v>38</v>
      </c>
      <c r="B4" s="5">
        <v>-2.7447274949999998</v>
      </c>
      <c r="C4" s="6" t="s">
        <v>23</v>
      </c>
      <c r="D4" s="5">
        <v>1.504455662</v>
      </c>
    </row>
    <row r="5" spans="1:4" ht="25">
      <c r="A5" s="6" t="s">
        <v>40</v>
      </c>
      <c r="B5" s="5">
        <v>-2.8961962790000002</v>
      </c>
      <c r="C5" s="6" t="s">
        <v>24</v>
      </c>
      <c r="D5" s="5">
        <v>1.512861625</v>
      </c>
    </row>
    <row r="6" spans="1:4" ht="25">
      <c r="A6" s="6" t="s">
        <v>39</v>
      </c>
      <c r="B6" s="5">
        <v>-3.4179366369999999</v>
      </c>
      <c r="C6" s="6" t="s">
        <v>33</v>
      </c>
      <c r="D6" s="5">
        <v>2.7077439289999998</v>
      </c>
    </row>
    <row r="7" spans="1:4" ht="25">
      <c r="A7" s="7" t="s">
        <v>22</v>
      </c>
      <c r="B7" s="5">
        <v>-1.5114492829999999</v>
      </c>
      <c r="C7" s="7" t="s">
        <v>22</v>
      </c>
      <c r="D7" s="5">
        <v>1.728158393</v>
      </c>
    </row>
    <row r="8" spans="1:4" ht="25">
      <c r="A8" s="7" t="s">
        <v>25</v>
      </c>
      <c r="B8" s="5">
        <v>-2.8239087409999999</v>
      </c>
      <c r="C8" s="7" t="s">
        <v>25</v>
      </c>
      <c r="D8" s="5">
        <v>3.4236586500000001</v>
      </c>
    </row>
    <row r="9" spans="1:4" ht="25">
      <c r="A9" s="7" t="s">
        <v>28</v>
      </c>
      <c r="B9" s="5">
        <v>-2.9507819770000001</v>
      </c>
      <c r="C9" s="7" t="s">
        <v>28</v>
      </c>
      <c r="D9" s="5">
        <v>2.8860566479999998</v>
      </c>
    </row>
    <row r="10" spans="1:4" ht="25">
      <c r="A10" s="7" t="s">
        <v>27</v>
      </c>
      <c r="B10" s="5">
        <v>-3.1505805859999998</v>
      </c>
      <c r="C10" s="7" t="s">
        <v>27</v>
      </c>
      <c r="D10" s="5">
        <v>2.270025714</v>
      </c>
    </row>
    <row r="11" spans="1:4" ht="25">
      <c r="A11" s="7" t="s">
        <v>34</v>
      </c>
      <c r="B11" s="5">
        <v>-3.6439741429999999</v>
      </c>
      <c r="C11" s="7" t="s">
        <v>34</v>
      </c>
      <c r="D11" s="5">
        <v>3.7695510790000002</v>
      </c>
    </row>
    <row r="12" spans="1:4" ht="25">
      <c r="A12" s="7" t="s">
        <v>10</v>
      </c>
      <c r="B12" s="5">
        <v>-3.8961962790000002</v>
      </c>
      <c r="C12" s="7" t="s">
        <v>10</v>
      </c>
      <c r="D12" s="5">
        <v>2.8632794330000002</v>
      </c>
    </row>
    <row r="13" spans="1:4" ht="25">
      <c r="A13" s="7" t="s">
        <v>26</v>
      </c>
      <c r="B13" s="5">
        <v>-4.0213630519999999</v>
      </c>
      <c r="C13" s="7" t="s">
        <v>26</v>
      </c>
      <c r="D13" s="5">
        <v>3.3151546380000001</v>
      </c>
    </row>
    <row r="14" spans="1:4" ht="25">
      <c r="A14" s="7" t="s">
        <v>31</v>
      </c>
      <c r="B14" s="5">
        <v>-4.2146701650000002</v>
      </c>
      <c r="C14" s="7" t="s">
        <v>31</v>
      </c>
      <c r="D14" s="5">
        <v>5.3151546380000001</v>
      </c>
    </row>
    <row r="15" spans="1:4" ht="25">
      <c r="A15" s="7" t="s">
        <v>30</v>
      </c>
      <c r="B15" s="5">
        <v>-4.2418453779999998</v>
      </c>
      <c r="C15" s="7" t="s">
        <v>30</v>
      </c>
      <c r="D15" s="5">
        <v>1.510041521</v>
      </c>
    </row>
    <row r="16" spans="1:4" ht="25">
      <c r="A16" s="7" t="s">
        <v>29</v>
      </c>
      <c r="B16" s="5">
        <v>-4.3027706569999999</v>
      </c>
      <c r="C16" s="7" t="s">
        <v>29</v>
      </c>
      <c r="D16" s="5">
        <v>6.7033348100000003</v>
      </c>
    </row>
    <row r="17" spans="1:4" ht="25">
      <c r="A17" s="7" t="s">
        <v>35</v>
      </c>
      <c r="B17" s="5">
        <v>-4.4145392699999997</v>
      </c>
      <c r="C17" s="7" t="s">
        <v>35</v>
      </c>
      <c r="D17" s="5">
        <v>3.8696662320000002</v>
      </c>
    </row>
    <row r="18" spans="1:4" ht="25">
      <c r="A18" s="7" t="s">
        <v>32</v>
      </c>
      <c r="B18" s="5">
        <v>-4.9469215569999996</v>
      </c>
      <c r="C18" s="7" t="s">
        <v>32</v>
      </c>
      <c r="D18" s="5">
        <v>1.5030703519999999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male aged</vt:lpstr>
      <vt:lpstr>female aged</vt:lpstr>
      <vt:lpstr>aged summary</vt:lpstr>
      <vt:lpstr>male young</vt:lpstr>
      <vt:lpstr>female young</vt:lpstr>
      <vt:lpstr>young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Wang</dc:creator>
  <cp:lastModifiedBy>e67092</cp:lastModifiedBy>
  <dcterms:created xsi:type="dcterms:W3CDTF">2025-09-18T19:45:23Z</dcterms:created>
  <dcterms:modified xsi:type="dcterms:W3CDTF">2026-10-15T18:54:54Z</dcterms:modified>
</cp:coreProperties>
</file>