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outobi/Downloads/final analysis/final code/rat-lung-proteomics/Script_7_mulltiple_factor_pathway/age vs young/"/>
    </mc:Choice>
  </mc:AlternateContent>
  <xr:revisionPtr revIDLastSave="0" documentId="13_ncr:1_{111DC71C-7DB5-AC48-8EFA-B99A31EE0F2B}" xr6:coauthVersionLast="47" xr6:coauthVersionMax="47" xr10:uidLastSave="{00000000-0000-0000-0000-000000000000}"/>
  <bookViews>
    <workbookView xWindow="37800" yWindow="1460" windowWidth="34560" windowHeight="20140" activeTab="5" xr2:uid="{00000000-000D-0000-FFFF-FFFF00000000}"/>
  </bookViews>
  <sheets>
    <sheet name="male aged" sheetId="12" r:id="rId1"/>
    <sheet name="female aged" sheetId="13" r:id="rId2"/>
    <sheet name="aged summary" sheetId="14" r:id="rId3"/>
    <sheet name="male young" sheetId="18" r:id="rId4"/>
    <sheet name="female young" sheetId="21" r:id="rId5"/>
    <sheet name="young summary" sheetId="22" r:id="rId6"/>
  </sheets>
  <calcPr calcId="0"/>
</workbook>
</file>

<file path=xl/sharedStrings.xml><?xml version="1.0" encoding="utf-8"?>
<sst xmlns="http://schemas.openxmlformats.org/spreadsheetml/2006/main" count="127" uniqueCount="44">
  <si>
    <t>Description</t>
  </si>
  <si>
    <t>Log10(FDR)</t>
  </si>
  <si>
    <t>coagulation (GO:0050817)</t>
  </si>
  <si>
    <t>response to wounding (GO:0009611)</t>
  </si>
  <si>
    <t>response to stress (GO:0006950)</t>
  </si>
  <si>
    <t>response to cytokine (GO:0034097)</t>
  </si>
  <si>
    <t>response to lipopolysaccharide (GO:0032496)</t>
  </si>
  <si>
    <t>regulation of nitric oxide metabolic process (GO:0080164)</t>
  </si>
  <si>
    <t>regulation of cell adhesion (GO:0030155)</t>
  </si>
  <si>
    <t>response to steroid hormone (GO:0048545)</t>
  </si>
  <si>
    <t>inflammatory response (GO:0006954)</t>
  </si>
  <si>
    <t>transport (GO:0006810)</t>
  </si>
  <si>
    <t>platelet activation (GO:0030168)</t>
  </si>
  <si>
    <t>complement activation (GO:0006956)</t>
  </si>
  <si>
    <t>regulation of protein polymerization (GO:0032271)</t>
  </si>
  <si>
    <t>cellular component organization (GO:0016043)</t>
  </si>
  <si>
    <t>carbon dioxide transport (GO:0015670)</t>
  </si>
  <si>
    <t>cell projection assembly (GO:0030031)</t>
  </si>
  <si>
    <t>multicellular organismal-level iron ion homeostasis (GO:0060586)</t>
  </si>
  <si>
    <t>cilium organization (GO:0044782)</t>
  </si>
  <si>
    <t>cellular detoxification (GO:1990748)</t>
  </si>
  <si>
    <t>female</t>
  </si>
  <si>
    <t>male</t>
  </si>
  <si>
    <t>peptidyl-lysine oxidation (GO:0018057)</t>
  </si>
  <si>
    <t>elastic fiber assembly (GO:0048251)</t>
  </si>
  <si>
    <t>collagen biosynthetic process (GO:0032964)</t>
  </si>
  <si>
    <t>peptidyl-lysine hydroxylation (GO:0017185)</t>
  </si>
  <si>
    <t>extracellular matrix assembly (GO:0085029)</t>
  </si>
  <si>
    <t>regulation of mRNA processing (GO:0050684)</t>
  </si>
  <si>
    <t>cardiac muscle contraction (GO:0060048)</t>
  </si>
  <si>
    <t>extracellular matrix organization (GO:0030198)</t>
  </si>
  <si>
    <t>striated muscle contraction (GO:0006941)</t>
  </si>
  <si>
    <t>muscle structure development (GO:0061061)</t>
  </si>
  <si>
    <t>actin filament-based process (GO:0030029)</t>
  </si>
  <si>
    <t>phosphocreatine metabolic process (GO:0006603)</t>
  </si>
  <si>
    <t>Golgi transport vesicle coating (GO:0048200)</t>
  </si>
  <si>
    <t>protein-RNA complex assembly (GO:0022618)</t>
  </si>
  <si>
    <t>microtubule polymerization (GO:0046785)</t>
  </si>
  <si>
    <t>positive regulation of axon extension (GO:0045773)</t>
  </si>
  <si>
    <t>oxidative phosphorylation (GO:0006119)</t>
  </si>
  <si>
    <t>respiratory tube development (GO:0030323)</t>
  </si>
  <si>
    <t>respiratory system development (GO:0060541)</t>
  </si>
  <si>
    <t>placeholder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</si>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</sst>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</font>
    <font>
      <sz val="18"/>
      <color theme="1"/>
      <name val="Aptos Narrow"/>
    </font>
    <font>
      <sz val="20"/>
      <color theme="1"/>
      <name val="Aptos Narrow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20"/>
      <color theme="1"/>
      <name val="Arial"/>
      <family val="2"/>
    </font>
    <font>
      <sz val="12"/>
      <name val="Aptos Narrow"/>
    </font>
    <font>
      <sz val="18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3" fillId="2" borderId="0" xfId="0" applyFont="1" applyFill="1"/>
    <xf numFmtId="0" fontId="5" fillId="0" borderId="0" xfId="0" applyFont="1"/>
    <xf numFmtId="0" fontId="5" fillId="3" borderId="0" xfId="0" applyFont="1" applyFill="1"/>
    <xf numFmtId="0" fontId="5" fillId="2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K13"/>
  <sheetViews>
    <sheetView workbookViewId="0"/>
  </sheetViews>
  <sheetFormatPr baseColWidth="10" defaultRowHeight="16"/>
  <cols>
    <col min="1" max="1" width="47.6640625" customWidth="1"/>
    <col min="2" max="2" width="18.1640625" customWidth="1"/>
    <col min="6" max="6" width="71.83203125" customWidth="1"/>
  </cols>
  <sheetData>
    <row r="1" spans="1:11" ht="24">
      <c r="A1" s="1" t="s">
        <v>0</v>
      </c>
      <c r="B1" s="1" t="s">
        <v>1</v>
      </c>
      <c r="F1" s="1"/>
      <c r="G1" s="1"/>
    </row>
    <row r="2" spans="1:11" ht="24">
      <c r="A2" s="3" t="s">
        <v>2</v>
      </c>
      <c r="B2" s="1">
        <v>5.1317068960495371</v>
      </c>
    </row>
    <row r="3" spans="1:11" ht="24">
      <c r="A3" s="3" t="s">
        <v>3</v>
      </c>
      <c r="B3" s="1">
        <v>6.022484886095941</v>
      </c>
    </row>
    <row r="4" spans="1:11" ht="24">
      <c r="A4" s="3" t="s">
        <v>4</v>
      </c>
      <c r="B4" s="1">
        <v>7.1601836795815776</v>
      </c>
    </row>
    <row r="5" spans="1:11" ht="24">
      <c r="A5" s="4" t="s">
        <v>5</v>
      </c>
      <c r="B5" s="1">
        <v>6.2891911503018934</v>
      </c>
      <c r="H5" s="1"/>
      <c r="I5" s="1"/>
      <c r="J5" s="2"/>
      <c r="K5" s="2"/>
    </row>
    <row r="6" spans="1:11" ht="24">
      <c r="A6" s="4" t="s">
        <v>6</v>
      </c>
      <c r="B6" s="1">
        <v>7.9568833737299176</v>
      </c>
    </row>
    <row r="7" spans="1:11" ht="24">
      <c r="A7" s="4" t="s">
        <v>7</v>
      </c>
      <c r="B7" s="1">
        <v>6.757934923673333</v>
      </c>
    </row>
    <row r="8" spans="1:11" ht="24">
      <c r="A8" s="4" t="s">
        <v>8</v>
      </c>
      <c r="B8" s="1">
        <v>5.5764107642805323</v>
      </c>
    </row>
    <row r="9" spans="1:11" ht="24">
      <c r="A9" s="4" t="s">
        <v>9</v>
      </c>
      <c r="B9" s="1">
        <v>4.1328456044719992</v>
      </c>
    </row>
    <row r="10" spans="1:11" ht="24">
      <c r="A10" s="3" t="s">
        <v>10</v>
      </c>
      <c r="B10" s="1">
        <v>3.957490749300494</v>
      </c>
    </row>
    <row r="11" spans="1:11" ht="24">
      <c r="A11" s="3" t="s">
        <v>11</v>
      </c>
      <c r="B11" s="1">
        <v>5.1052990194457823</v>
      </c>
    </row>
    <row r="12" spans="1:11" ht="24">
      <c r="A12" s="4" t="s">
        <v>12</v>
      </c>
      <c r="B12" s="1">
        <v>1.4240306743028548</v>
      </c>
    </row>
    <row r="13" spans="1:11" ht="24">
      <c r="A13" s="3" t="s">
        <v>13</v>
      </c>
      <c r="B13" s="1">
        <v>1.9845460279158371</v>
      </c>
    </row>
  </sheetData>
  <conditionalFormatting sqref="A1:A7">
    <cfRule type="duplicateValues" dxfId="15" priority="4"/>
  </conditionalFormatting>
  <conditionalFormatting sqref="A11">
    <cfRule type="duplicateValues" dxfId="14" priority="1"/>
  </conditionalFormatting>
  <conditionalFormatting sqref="F1 A8:A10 F8:F1048198 A12:A13">
    <cfRule type="duplicateValues" dxfId="13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D13"/>
  <sheetViews>
    <sheetView workbookViewId="0"/>
  </sheetViews>
  <sheetFormatPr baseColWidth="10" defaultRowHeight="16"/>
  <cols>
    <col min="1" max="1" width="53.83203125" customWidth="1"/>
    <col min="3" max="3" width="50.6640625" style="15" customWidth="1"/>
  </cols>
  <sheetData>
    <row r="1" spans="1:4" ht="24">
      <c r="A1" s="1" t="s">
        <v>0</v>
      </c>
      <c r="B1" s="1" t="s">
        <v>1</v>
      </c>
      <c r="D1" s="1"/>
    </row>
    <row r="2" spans="1:4" ht="24">
      <c r="A2" s="3" t="s">
        <v>11</v>
      </c>
      <c r="B2" s="1">
        <v>9.3091339219031859</v>
      </c>
      <c r="C2" s="16"/>
      <c r="D2" s="1"/>
    </row>
    <row r="3" spans="1:4" ht="24">
      <c r="A3" s="3" t="s">
        <v>3</v>
      </c>
      <c r="B3" s="1">
        <v>3.4640749118321987</v>
      </c>
      <c r="C3" s="16"/>
      <c r="D3" s="1"/>
    </row>
    <row r="4" spans="1:4" ht="24">
      <c r="A4" s="3" t="s">
        <v>4</v>
      </c>
      <c r="B4" s="1">
        <v>4.0856781403444593</v>
      </c>
      <c r="C4" s="16"/>
      <c r="D4" s="1"/>
    </row>
    <row r="5" spans="1:4" ht="24">
      <c r="A5" s="3" t="s">
        <v>2</v>
      </c>
      <c r="B5" s="1">
        <v>1.6902879372934589</v>
      </c>
      <c r="C5" s="16"/>
      <c r="D5" s="1"/>
    </row>
    <row r="6" spans="1:4" ht="24">
      <c r="A6" s="4" t="s">
        <v>15</v>
      </c>
      <c r="B6" s="1">
        <v>4.1435738548790519</v>
      </c>
      <c r="C6" s="16"/>
      <c r="D6" s="1"/>
    </row>
    <row r="7" spans="1:4" ht="24">
      <c r="A7" s="4" t="s">
        <v>16</v>
      </c>
      <c r="B7" s="1">
        <v>4.7816224622630035</v>
      </c>
      <c r="C7" s="16"/>
      <c r="D7" s="1"/>
    </row>
    <row r="8" spans="1:4" ht="24">
      <c r="A8" s="4" t="s">
        <v>17</v>
      </c>
      <c r="B8" s="1">
        <v>3.5615578090083582</v>
      </c>
      <c r="C8" s="16"/>
      <c r="D8" s="1"/>
    </row>
    <row r="9" spans="1:4" ht="24">
      <c r="A9" s="4" t="s">
        <v>18</v>
      </c>
      <c r="B9" s="1">
        <v>2.6626103963350323</v>
      </c>
      <c r="C9" s="16"/>
      <c r="D9" s="1"/>
    </row>
    <row r="10" spans="1:4" ht="24">
      <c r="A10" s="4" t="s">
        <v>19</v>
      </c>
      <c r="B10" s="1">
        <v>3.6863948426167594</v>
      </c>
      <c r="C10" s="16"/>
      <c r="D10" s="1"/>
    </row>
    <row r="11" spans="1:4" ht="24">
      <c r="A11" s="4" t="s">
        <v>20</v>
      </c>
      <c r="B11" s="1">
        <v>3.3191659379221141</v>
      </c>
      <c r="C11" s="16"/>
      <c r="D11" s="1"/>
    </row>
    <row r="12" spans="1:4" ht="24">
      <c r="A12" s="3" t="s">
        <v>13</v>
      </c>
      <c r="B12" s="1">
        <v>3.321369930411973</v>
      </c>
      <c r="C12" s="16"/>
      <c r="D12" s="1"/>
    </row>
    <row r="13" spans="1:4" ht="24">
      <c r="A13" s="3" t="s">
        <v>10</v>
      </c>
      <c r="B13" s="1">
        <v>1.5620004286182385</v>
      </c>
      <c r="C13" s="16"/>
      <c r="D13" s="1"/>
    </row>
  </sheetData>
  <conditionalFormatting sqref="A1">
    <cfRule type="duplicateValues" dxfId="12" priority="1"/>
  </conditionalFormatting>
  <conditionalFormatting sqref="A2:A13">
    <cfRule type="duplicateValues" dxfId="11" priority="5"/>
  </conditionalFormatting>
  <conditionalFormatting sqref="C2:C7">
    <cfRule type="duplicateValues" dxfId="10" priority="4"/>
  </conditionalFormatting>
  <conditionalFormatting sqref="C8:C10 C12:C13">
    <cfRule type="duplicateValues" dxfId="9" priority="3"/>
  </conditionalFormatting>
  <conditionalFormatting sqref="C11">
    <cfRule type="duplicateValues" dxfId="8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D13"/>
  <sheetViews>
    <sheetView workbookViewId="0"/>
  </sheetViews>
  <sheetFormatPr baseColWidth="10" defaultRowHeight="16"/>
  <cols>
    <col min="1" max="1" width="90.83203125" style="9" bestFit="1" customWidth="1"/>
    <col min="2" max="2" width="21" style="9" bestFit="1" customWidth="1"/>
    <col min="3" max="3" width="80.33203125" style="9" bestFit="1" customWidth="1"/>
    <col min="4" max="16384" width="10.83203125" style="9"/>
  </cols>
  <sheetData>
    <row r="1" spans="1:4" ht="23">
      <c r="A1" s="8" t="s">
        <v>21</v>
      </c>
      <c r="B1" s="8" t="s">
        <v>1</v>
      </c>
      <c r="C1" s="8" t="s">
        <v>22</v>
      </c>
      <c r="D1" s="8" t="s">
        <v>1</v>
      </c>
    </row>
    <row r="2" spans="1:4" ht="23">
      <c r="A2" s="10" t="s">
        <v>20</v>
      </c>
      <c r="B2" s="8">
        <v>-3.3191659379221141</v>
      </c>
      <c r="C2" s="10" t="s">
        <v>12</v>
      </c>
      <c r="D2" s="8">
        <v>1.4240306743028548</v>
      </c>
    </row>
    <row r="3" spans="1:4" ht="23">
      <c r="A3" s="10" t="s">
        <v>19</v>
      </c>
      <c r="B3" s="8">
        <v>-3.6863948426167594</v>
      </c>
      <c r="C3" s="10" t="s">
        <v>9</v>
      </c>
      <c r="D3" s="8">
        <v>4.1328456044719992</v>
      </c>
    </row>
    <row r="4" spans="1:4" ht="23">
      <c r="A4" s="10" t="s">
        <v>18</v>
      </c>
      <c r="B4" s="8">
        <v>-2.6626103963350323</v>
      </c>
      <c r="C4" s="10" t="s">
        <v>8</v>
      </c>
      <c r="D4" s="8">
        <v>5.5764107642805323</v>
      </c>
    </row>
    <row r="5" spans="1:4" ht="23">
      <c r="A5" s="10" t="s">
        <v>17</v>
      </c>
      <c r="B5" s="8">
        <v>-3.5615578090083582</v>
      </c>
      <c r="C5" s="10" t="s">
        <v>7</v>
      </c>
      <c r="D5" s="8">
        <v>6.757934923673333</v>
      </c>
    </row>
    <row r="6" spans="1:4" ht="23">
      <c r="A6" s="10" t="s">
        <v>16</v>
      </c>
      <c r="B6" s="8">
        <v>-4.7816224622630035</v>
      </c>
      <c r="C6" s="10" t="s">
        <v>6</v>
      </c>
      <c r="D6" s="8">
        <v>7.9568833737299176</v>
      </c>
    </row>
    <row r="7" spans="1:4" ht="23">
      <c r="A7" s="10" t="s">
        <v>15</v>
      </c>
      <c r="B7" s="8">
        <v>-4.1435738548790519</v>
      </c>
      <c r="C7" s="10" t="s">
        <v>5</v>
      </c>
      <c r="D7" s="8">
        <v>6.2891911503018934</v>
      </c>
    </row>
    <row r="8" spans="1:4" ht="23">
      <c r="A8" s="11" t="s">
        <v>10</v>
      </c>
      <c r="B8" s="8">
        <v>-1.5620004286182385</v>
      </c>
      <c r="C8" s="11" t="s">
        <v>10</v>
      </c>
      <c r="D8" s="8">
        <v>3.957490749300494</v>
      </c>
    </row>
    <row r="9" spans="1:4" ht="23">
      <c r="A9" s="11" t="s">
        <v>13</v>
      </c>
      <c r="B9" s="8">
        <v>-3.321369930411973</v>
      </c>
      <c r="C9" s="11" t="s">
        <v>13</v>
      </c>
      <c r="D9" s="8">
        <v>1.9845460279158371</v>
      </c>
    </row>
    <row r="10" spans="1:4" ht="23">
      <c r="A10" s="11" t="s">
        <v>2</v>
      </c>
      <c r="B10" s="8">
        <v>-1.6902879372934589</v>
      </c>
      <c r="C10" s="11" t="s">
        <v>2</v>
      </c>
      <c r="D10" s="8">
        <v>5.1317068960495371</v>
      </c>
    </row>
    <row r="11" spans="1:4" ht="23">
      <c r="A11" s="11" t="s">
        <v>4</v>
      </c>
      <c r="B11" s="8">
        <v>-4.0856781403444593</v>
      </c>
      <c r="C11" s="11" t="s">
        <v>4</v>
      </c>
      <c r="D11" s="8">
        <v>7.1601836795815776</v>
      </c>
    </row>
    <row r="12" spans="1:4" ht="23">
      <c r="A12" s="11" t="s">
        <v>3</v>
      </c>
      <c r="B12" s="8">
        <v>-3.4640749118321987</v>
      </c>
      <c r="C12" s="11" t="s">
        <v>3</v>
      </c>
      <c r="D12" s="8">
        <v>6.022484886095941</v>
      </c>
    </row>
    <row r="13" spans="1:4" ht="23">
      <c r="A13" s="11" t="s">
        <v>11</v>
      </c>
      <c r="B13" s="8">
        <v>-9.3091339219031859</v>
      </c>
      <c r="C13" s="11" t="s">
        <v>11</v>
      </c>
      <c r="D13" s="8">
        <v>5.1052990194457823</v>
      </c>
    </row>
  </sheetData>
  <conditionalFormatting sqref="A2:A7">
    <cfRule type="duplicateValues" dxfId="7" priority="4"/>
  </conditionalFormatting>
  <conditionalFormatting sqref="A8:A13 A1">
    <cfRule type="duplicateValues" dxfId="6" priority="7"/>
  </conditionalFormatting>
  <conditionalFormatting sqref="C1">
    <cfRule type="duplicateValues" dxfId="5" priority="1"/>
  </conditionalFormatting>
  <conditionalFormatting sqref="C2:C4 C6:C7">
    <cfRule type="duplicateValues" dxfId="4" priority="3"/>
  </conditionalFormatting>
  <conditionalFormatting sqref="C5">
    <cfRule type="duplicateValues" dxfId="3" priority="2"/>
  </conditionalFormatting>
  <conditionalFormatting sqref="C8:C13">
    <cfRule type="duplicateValues" dxfId="2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B20"/>
  <sheetViews>
    <sheetView workbookViewId="0"/>
  </sheetViews>
  <sheetFormatPr baseColWidth="10" defaultRowHeight="16"/>
  <cols>
    <col min="1" max="1" width="70.83203125" customWidth="1"/>
  </cols>
  <sheetData>
    <row r="1" spans="1:2" ht="27">
      <c r="A1" s="1" t="s">
        <v>0</v>
      </c>
      <c r="B1" s="5" t="s">
        <v>1</v>
      </c>
    </row>
    <row r="2" spans="1:2" ht="27">
      <c r="A2" s="6" t="s">
        <v>28</v>
      </c>
      <c r="B2" s="5">
        <v>5.9209345815466534</v>
      </c>
    </row>
    <row r="3" spans="1:2" ht="27">
      <c r="A3" s="6" t="s">
        <v>30</v>
      </c>
      <c r="B3" s="5">
        <v>5.4965534921095909</v>
      </c>
    </row>
    <row r="4" spans="1:2" ht="27">
      <c r="A4" s="6" t="s">
        <v>33</v>
      </c>
      <c r="B4" s="5">
        <v>3.2277604535923721</v>
      </c>
    </row>
    <row r="5" spans="1:2" ht="27">
      <c r="A5" s="6" t="s">
        <v>32</v>
      </c>
      <c r="B5" s="5">
        <v>3.4780652015147027</v>
      </c>
    </row>
    <row r="6" spans="1:2" ht="27">
      <c r="A6" s="6" t="s">
        <v>24</v>
      </c>
      <c r="B6" s="5">
        <v>3.2029322626436714</v>
      </c>
    </row>
    <row r="7" spans="1:2" ht="27">
      <c r="A7" s="6" t="s">
        <v>25</v>
      </c>
      <c r="B7" s="5">
        <v>5.9116785731884338</v>
      </c>
    </row>
    <row r="8" spans="1:2" ht="27">
      <c r="A8" s="6" t="s">
        <v>27</v>
      </c>
      <c r="B8" s="5">
        <v>2.8233927008446695</v>
      </c>
    </row>
    <row r="9" spans="1:2" ht="27">
      <c r="A9" s="6" t="s">
        <v>14</v>
      </c>
      <c r="B9" s="5">
        <v>3.0768530124272315</v>
      </c>
    </row>
    <row r="10" spans="1:2" ht="27">
      <c r="A10" s="7" t="s">
        <v>36</v>
      </c>
      <c r="B10" s="5">
        <v>1.8598503764681991</v>
      </c>
    </row>
    <row r="11" spans="1:2" ht="27">
      <c r="A11" s="6" t="s">
        <v>26</v>
      </c>
      <c r="B11" s="5">
        <v>1.1249773079810961</v>
      </c>
    </row>
    <row r="12" spans="1:2" ht="27">
      <c r="A12" s="6" t="s">
        <v>23</v>
      </c>
      <c r="B12" s="5">
        <v>1.7568563729631268</v>
      </c>
    </row>
    <row r="13" spans="1:2" ht="27">
      <c r="A13" s="7" t="s">
        <v>35</v>
      </c>
      <c r="B13" s="5">
        <v>1.5331211083836085</v>
      </c>
    </row>
    <row r="14" spans="1:2" ht="27">
      <c r="A14" s="6" t="s">
        <v>29</v>
      </c>
      <c r="B14" s="5">
        <v>1.582188508225844</v>
      </c>
    </row>
    <row r="15" spans="1:2" ht="27">
      <c r="A15" s="7" t="s">
        <v>34</v>
      </c>
      <c r="B15" s="5">
        <v>1.5279814687311974</v>
      </c>
    </row>
    <row r="16" spans="1:2" ht="27">
      <c r="A16" s="6" t="s">
        <v>31</v>
      </c>
      <c r="B16" s="5">
        <v>1.5611852939500168</v>
      </c>
    </row>
    <row r="17" spans="1:2" ht="27">
      <c r="A17" s="5"/>
      <c r="B17" s="5"/>
    </row>
    <row r="20" spans="1:2" ht="27">
      <c r="A20" s="5"/>
      <c r="B20" s="5"/>
    </row>
  </sheetData>
  <conditionalFormatting sqref="A1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B22"/>
  <sheetViews>
    <sheetView workbookViewId="0"/>
  </sheetViews>
  <sheetFormatPr baseColWidth="10" defaultRowHeight="16"/>
  <cols>
    <col min="1" max="1" width="70.83203125" customWidth="1"/>
  </cols>
  <sheetData>
    <row r="1" spans="1:2" ht="27">
      <c r="A1" s="1" t="s">
        <v>0</v>
      </c>
      <c r="B1" s="5" t="s">
        <v>1</v>
      </c>
    </row>
    <row r="2" spans="1:2" ht="27">
      <c r="A2" s="6" t="s">
        <v>31</v>
      </c>
      <c r="B2" s="5">
        <v>5.2263619779710249</v>
      </c>
    </row>
    <row r="3" spans="1:2" ht="27">
      <c r="A3" s="6" t="s">
        <v>33</v>
      </c>
      <c r="B3" s="5">
        <v>4.7002196343543305</v>
      </c>
    </row>
    <row r="4" spans="1:2" ht="27">
      <c r="A4" s="6" t="s">
        <v>28</v>
      </c>
      <c r="B4" s="5">
        <v>3.2065516664675275</v>
      </c>
    </row>
    <row r="5" spans="1:2" ht="27">
      <c r="A5" s="6" t="s">
        <v>29</v>
      </c>
      <c r="B5" s="5">
        <v>4.5132707519711914</v>
      </c>
    </row>
    <row r="6" spans="1:2" ht="27">
      <c r="A6" s="6" t="s">
        <v>30</v>
      </c>
      <c r="B6" s="5">
        <v>5.1845300660708888</v>
      </c>
    </row>
    <row r="7" spans="1:2" ht="27">
      <c r="A7" s="6" t="s">
        <v>25</v>
      </c>
      <c r="B7" s="5">
        <v>8.0804548321854313</v>
      </c>
    </row>
    <row r="8" spans="1:2" ht="27">
      <c r="A8" s="6" t="s">
        <v>14</v>
      </c>
      <c r="B8" s="5">
        <v>4.3776334316798335</v>
      </c>
    </row>
    <row r="9" spans="1:2" ht="27">
      <c r="A9" s="6" t="s">
        <v>32</v>
      </c>
      <c r="B9" s="5">
        <v>3.2616444063406522</v>
      </c>
    </row>
    <row r="10" spans="1:2" ht="27">
      <c r="A10" s="7" t="s">
        <v>40</v>
      </c>
      <c r="B10" s="5">
        <v>3.5975957927744915</v>
      </c>
    </row>
    <row r="11" spans="1:2" ht="27">
      <c r="A11" s="6" t="s">
        <v>26</v>
      </c>
      <c r="B11" s="5">
        <v>2.1776107564782223</v>
      </c>
    </row>
    <row r="12" spans="1:2" ht="27">
      <c r="A12" s="6" t="s">
        <v>27</v>
      </c>
      <c r="B12" s="5">
        <v>3.0017160576188733</v>
      </c>
    </row>
    <row r="13" spans="1:2" ht="27">
      <c r="A13" s="7" t="s">
        <v>41</v>
      </c>
      <c r="B13" s="5">
        <v>3.0645943676623157</v>
      </c>
    </row>
    <row r="14" spans="1:2" ht="27">
      <c r="A14" s="6" t="s">
        <v>24</v>
      </c>
      <c r="B14" s="5">
        <v>2.6203304815564397</v>
      </c>
    </row>
    <row r="15" spans="1:2" ht="27">
      <c r="A15" s="7" t="s">
        <v>39</v>
      </c>
      <c r="B15" s="5">
        <v>3.3751385567385723</v>
      </c>
    </row>
    <row r="16" spans="1:2" ht="27">
      <c r="A16" s="7" t="s">
        <v>38</v>
      </c>
      <c r="B16" s="5">
        <v>2.8348047457931038</v>
      </c>
    </row>
    <row r="17" spans="1:2" ht="27">
      <c r="A17" s="7" t="s">
        <v>37</v>
      </c>
      <c r="B17" s="5">
        <v>1.0625517083367071</v>
      </c>
    </row>
    <row r="18" spans="1:2" ht="27">
      <c r="A18" s="6" t="s">
        <v>23</v>
      </c>
      <c r="B18" s="5">
        <v>1.5688540287741268</v>
      </c>
    </row>
    <row r="22" spans="1:2" ht="27">
      <c r="B22" s="5"/>
    </row>
  </sheetData>
  <conditionalFormatting sqref="A1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L16"/>
  <sheetViews>
    <sheetView tabSelected="1" workbookViewId="0">
      <selection activeCell="C24" sqref="C24"/>
    </sheetView>
  </sheetViews>
  <sheetFormatPr baseColWidth="10" defaultRowHeight="16"/>
  <cols>
    <col min="1" max="1" width="80" style="9" bestFit="1" customWidth="1"/>
    <col min="2" max="2" width="10.83203125" style="9"/>
    <col min="3" max="3" width="78.33203125" style="9" bestFit="1" customWidth="1"/>
    <col min="4" max="16384" width="10.83203125" style="9"/>
  </cols>
  <sheetData>
    <row r="1" spans="1:12" ht="25">
      <c r="A1" s="12" t="s">
        <v>21</v>
      </c>
      <c r="B1" s="12" t="s">
        <v>1</v>
      </c>
      <c r="C1" s="12" t="s">
        <v>22</v>
      </c>
      <c r="D1" s="12" t="s">
        <v>1</v>
      </c>
    </row>
    <row r="2" spans="1:12" ht="25">
      <c r="A2" s="13" t="s">
        <v>38</v>
      </c>
      <c r="B2" s="12">
        <v>-2.8348047457931038</v>
      </c>
      <c r="C2" s="9" t="s">
        <v>42</v>
      </c>
      <c r="D2" s="9">
        <v>1</v>
      </c>
    </row>
    <row r="3" spans="1:12" ht="25">
      <c r="A3" s="13" t="s">
        <v>39</v>
      </c>
      <c r="B3" s="12">
        <v>-3.3751385567385723</v>
      </c>
      <c r="C3" s="13" t="s">
        <v>34</v>
      </c>
      <c r="D3" s="12">
        <v>1.5279814687311974</v>
      </c>
    </row>
    <row r="4" spans="1:12" ht="25">
      <c r="A4" s="13" t="s">
        <v>41</v>
      </c>
      <c r="B4" s="12">
        <v>-3.0645943676623157</v>
      </c>
      <c r="C4" s="13" t="s">
        <v>35</v>
      </c>
      <c r="D4" s="12">
        <v>1.5331211083836085</v>
      </c>
    </row>
    <row r="5" spans="1:12" ht="25">
      <c r="A5" s="13" t="s">
        <v>40</v>
      </c>
      <c r="B5" s="12">
        <v>-3.5975957927744915</v>
      </c>
      <c r="C5" s="13" t="s">
        <v>36</v>
      </c>
      <c r="D5" s="12">
        <v>1.8598503764681991</v>
      </c>
      <c r="L5" s="9" t="s">
        <v>43</v>
      </c>
    </row>
    <row r="6" spans="1:12" ht="25">
      <c r="A6" s="14" t="s">
        <v>23</v>
      </c>
      <c r="B6" s="12">
        <v>-1.5688540287741268</v>
      </c>
      <c r="C6" s="14" t="s">
        <v>23</v>
      </c>
      <c r="D6" s="12">
        <v>1.7568563729631268</v>
      </c>
    </row>
    <row r="7" spans="1:12" ht="25">
      <c r="A7" s="14" t="s">
        <v>24</v>
      </c>
      <c r="B7" s="12">
        <v>-2.6203304815564397</v>
      </c>
      <c r="C7" s="14" t="s">
        <v>24</v>
      </c>
      <c r="D7" s="12">
        <v>3.2029322626436714</v>
      </c>
    </row>
    <row r="8" spans="1:12" ht="25">
      <c r="A8" s="14" t="s">
        <v>27</v>
      </c>
      <c r="B8" s="12">
        <v>-3.0017160576188733</v>
      </c>
      <c r="C8" s="14" t="s">
        <v>27</v>
      </c>
      <c r="D8" s="12">
        <v>2.8233927008446695</v>
      </c>
    </row>
    <row r="9" spans="1:12" ht="25">
      <c r="A9" s="14" t="s">
        <v>32</v>
      </c>
      <c r="B9" s="12">
        <v>-3.2616444063406522</v>
      </c>
      <c r="C9" s="14" t="s">
        <v>32</v>
      </c>
      <c r="D9" s="12">
        <v>3.4780652015147027</v>
      </c>
    </row>
    <row r="10" spans="1:12" ht="25">
      <c r="A10" s="14" t="s">
        <v>14</v>
      </c>
      <c r="B10" s="12">
        <v>-4.3776334316798335</v>
      </c>
      <c r="C10" s="14" t="s">
        <v>14</v>
      </c>
      <c r="D10" s="12">
        <v>3.0768530124272315</v>
      </c>
    </row>
    <row r="11" spans="1:12" ht="25">
      <c r="A11" s="14" t="s">
        <v>25</v>
      </c>
      <c r="B11" s="12">
        <v>-8.0804548321854313</v>
      </c>
      <c r="C11" s="14" t="s">
        <v>25</v>
      </c>
      <c r="D11" s="12">
        <v>5.9116785731884338</v>
      </c>
    </row>
    <row r="12" spans="1:12" ht="25">
      <c r="A12" s="14" t="s">
        <v>30</v>
      </c>
      <c r="B12" s="12">
        <v>-5.1845300660708888</v>
      </c>
      <c r="C12" s="14" t="s">
        <v>30</v>
      </c>
      <c r="D12" s="12">
        <v>5.4965534921095909</v>
      </c>
    </row>
    <row r="13" spans="1:12" ht="25">
      <c r="A13" s="14" t="s">
        <v>29</v>
      </c>
      <c r="B13" s="12">
        <v>-4.5132707519711914</v>
      </c>
      <c r="C13" s="14" t="s">
        <v>29</v>
      </c>
      <c r="D13" s="12">
        <v>1.582188508225844</v>
      </c>
    </row>
    <row r="14" spans="1:12" ht="25">
      <c r="A14" s="14" t="s">
        <v>28</v>
      </c>
      <c r="B14" s="12">
        <v>-3.2065516664675275</v>
      </c>
      <c r="C14" s="14" t="s">
        <v>28</v>
      </c>
      <c r="D14" s="12">
        <v>5.9209345815466534</v>
      </c>
    </row>
    <row r="15" spans="1:12" ht="25">
      <c r="A15" s="14" t="s">
        <v>33</v>
      </c>
      <c r="B15" s="12">
        <v>-4.7002196343543305</v>
      </c>
      <c r="C15" s="14" t="s">
        <v>33</v>
      </c>
      <c r="D15" s="12">
        <v>3.2277604535923721</v>
      </c>
    </row>
    <row r="16" spans="1:12" ht="25">
      <c r="A16" s="14" t="s">
        <v>31</v>
      </c>
      <c r="B16" s="12">
        <v>-5.2263619779710249</v>
      </c>
      <c r="C16" s="14" t="s">
        <v>31</v>
      </c>
      <c r="D16" s="12">
        <v>1.5611852939500168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male aged</vt:lpstr>
      <vt:lpstr>female aged</vt:lpstr>
      <vt:lpstr>aged summary</vt:lpstr>
      <vt:lpstr>male young</vt:lpstr>
      <vt:lpstr>female young</vt:lpstr>
      <vt:lpstr>young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e67092</cp:lastModifiedBy>
  <dcterms:modified xsi:type="dcterms:W3CDTF">2026-09-29T19:21:08Z</dcterms:modified>
</cp:coreProperties>
</file>