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ea760d0874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P" sheetId="1" r:id="R7560b977fd2c48e3"/>
    <x:sheet xmlns:r="http://schemas.openxmlformats.org/officeDocument/2006/relationships" name="CC" sheetId="2" r:id="R23fb72ecc7db4c79"/>
    <x:sheet xmlns:r="http://schemas.openxmlformats.org/officeDocument/2006/relationships" name="MF" sheetId="3" r:id="Rc9ff0494569e43a1"/>
    <x:sheet xmlns:r="http://schemas.openxmlformats.org/officeDocument/2006/relationships" name="GO" sheetId="4" r:id="Rfc2be314d3374d99"/>
    <x:sheet xmlns:r="http://schemas.openxmlformats.org/officeDocument/2006/relationships" name="Reactome" sheetId="5" r:id="R5ee32b4bdf064e3a"/>
  </x:sheets>
</x:workbook>
</file>

<file path=xl/sharedStrings.xml><?xml version="1.0" encoding="utf-8"?>
<x:sst xmlns:x="http://schemas.openxmlformats.org/spreadsheetml/2006/main">
  <x:si>
    <x:t xml:space="preserve">Description</x:t>
  </x:si>
  <x:si>
    <x:t xml:space="preserve">REFLIST</x:t>
  </x:si>
  <x:si>
    <x:t xml:space="preserve">Size</x:t>
  </x:si>
  <x:si>
    <x:t xml:space="preserve">Expect</x:t>
  </x:si>
  <x:si>
    <x:t xml:space="preserve">over/under</x:t>
  </x:si>
  <x:si>
    <x:t xml:space="preserve">Ratio</x:t>
  </x:si>
  <x:si>
    <x:t xml:space="preserve">P value</x:t>
  </x:si>
  <x:si>
    <x:t xml:space="preserve">FDR</x:t>
  </x:si>
  <x:si>
    <x:t xml:space="preserve">Log10(FDR)</x:t>
  </x:si>
  <x:si>
    <x:t xml:space="preserve">GO</x:t>
  </x:si>
  <x:si>
    <x:t xml:space="preserve">BP</x:t>
  </x:si>
  <x:si>
    <x:t xml:space="preserve">CC</x:t>
  </x:si>
  <x:si>
    <x:t xml:space="preserve">MF</x:t>
  </x:si>
</x:sst>
</file>

<file path=xl/styles.xml><?xml version="1.0" encoding="utf-8"?>
<x:styleSheet xmlns:x="http://schemas.openxmlformats.org/spreadsheetml/2006/main">
  <x:numFmts count="2">
    <x:numFmt numFmtId="200" formatCode="0.00"/>
    <x:numFmt numFmtId="201" formatCode="0.000000"/>
  </x:numFmts>
  <x:fonts count="1">
    <x:font>
      <x:sz val="12"/>
      <x:color theme="1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theme="9" tint="0.5999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Fill="1"/>
    <x:xf numFmtId="11" fontId="0" fillId="2" borderId="0" xfId="0" applyNumberFormat="1" applyFill="1"/>
    <x:xf numFmtId="11" fontId="0" fillId="0" borderId="0" xfId="0" applyNumberFormat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589bdfdc64f6b" /><Relationship Type="http://schemas.openxmlformats.org/officeDocument/2006/relationships/theme" Target="/xl/theme/theme1.xml" Id="R3164ff6cbd1d409d" /><Relationship Type="http://schemas.openxmlformats.org/officeDocument/2006/relationships/sharedStrings" Target="/xl/sharedStrings.xml" Id="Rd098aab6ee3f4b01" /><Relationship Type="http://schemas.openxmlformats.org/officeDocument/2006/relationships/worksheet" Target="/xl/worksheets/sheet1.xml" Id="R7560b977fd2c48e3" /><Relationship Type="http://schemas.openxmlformats.org/officeDocument/2006/relationships/worksheet" Target="/xl/worksheets/sheet2.xml" Id="R23fb72ecc7db4c79" /><Relationship Type="http://schemas.openxmlformats.org/officeDocument/2006/relationships/worksheet" Target="/xl/worksheets/sheet3.xml" Id="Rc9ff0494569e43a1" /><Relationship Type="http://schemas.openxmlformats.org/officeDocument/2006/relationships/worksheet" Target="/xl/worksheets/sheet4.xml" Id="Rfc2be314d3374d99" /><Relationship Type="http://schemas.openxmlformats.org/officeDocument/2006/relationships/worksheet" Target="/xl/worksheets/sheet5.xml" Id="R5ee32b4bdf064e3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68" hidden="0" customWidth="1"/>
    <x:col min="2" max="2" width="14" hidden="0" customWidth="1"/>
    <x:col min="3" max="3" width="10" hidden="0" customWidth="1"/>
    <x:col min="4" max="4" width="12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17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</x:row>
    <x:row r="2" s="1" customFormat="1">
      <x:c r="A2" s="1" t="str">
        <x:v>striated muscle contraction (GO:0006941)</x:v>
      </x:c>
      <x:c r="B2" s="1" t="n">
        <x:v>119</x:v>
      </x:c>
      <x:c r="C2" s="1" t="n">
        <x:v>8</x:v>
      </x:c>
      <x:c r="D2" s="4" t="n">
        <x:v>0.14048972452995193</x:v>
      </x:c>
      <x:c r="E2" s="1" t="str">
        <x:v>+</x:v>
      </x:c>
      <x:c r="F2" s="4" t="n">
        <x:v>56.94366635543105</x:v>
      </x:c>
      <x:c r="G2" s="2" t="n">
        <x:v>8.650835420778915e-13</x:v>
      </x:c>
      <x:c r="H2" s="2" t="n">
        <x:v>4.201422402691626e-9</x:v>
      </x:c>
      <x:c r="I2" s="5" t="n">
        <x:v>8.376603653159437</x:v>
      </x:c>
    </x:row>
    <x:row r="3" s="1" customFormat="1">
      <x:c r="A3" s="1" t="str">
        <x:v>muscle structure development (GO:0061061)</x:v>
      </x:c>
      <x:c r="B3" s="1" t="n">
        <x:v>545</x:v>
      </x:c>
      <x:c r="C3" s="1" t="n">
        <x:v>12</x:v>
      </x:c>
      <x:c r="D3" s="4" t="n">
        <x:v>0.6434193266287713</x:v>
      </x:c>
      <x:c r="E3" s="1" t="str">
        <x:v>+</x:v>
      </x:c>
      <x:c r="F3" s="4" t="n">
        <x:v>18.650356778797146</x:v>
      </x:c>
      <x:c r="G3" s="2" t="n">
        <x:v>3.7354263829738116e-13</x:v>
      </x:c>
      <x:c r="H3" s="2" t="n">
        <x:v>5.442516239992843e-9</x:v>
      </x:c>
      <x:c r="I3" s="5" t="n">
        <x:v>8.264200266388153</x:v>
      </x:c>
    </x:row>
    <x:row r="4" s="1" customFormat="1">
      <x:c r="A4" s="1" t="str">
        <x:v>muscle system process (GO:0003012)</x:v>
      </x:c>
      <x:c r="B4" s="1" t="n">
        <x:v>279</x:v>
      </x:c>
      <x:c r="C4" s="1" t="n">
        <x:v>10</x:v>
      </x:c>
      <x:c r="D4" s="4" t="n">
        <x:v>0.32938347179711414</x:v>
      </x:c>
      <x:c r="E4" s="1" t="str">
        <x:v>+</x:v>
      </x:c>
      <x:c r="F4" s="4" t="n">
        <x:v>30.359750431435018</x:v>
      </x:c>
      <x:c r="G4" s="2" t="n">
        <x:v>4.366736976025613e-13</x:v>
      </x:c>
      <x:c r="H4" s="2" t="n">
        <x:v>3.1811678870346592e-9</x:v>
      </x:c>
      <x:c r="I4" s="5" t="n">
        <x:v>8.497413410273738</x:v>
      </x:c>
    </x:row>
    <x:row r="5" s="1" customFormat="1">
      <x:c r="A5" s="1" t="str">
        <x:v>cardiac muscle contraction (GO:0060048)</x:v>
      </x:c>
      <x:c r="B5" s="1" t="n">
        <x:v>76</x:v>
      </x:c>
      <x:c r="C5" s="1" t="n">
        <x:v>7</x:v>
      </x:c>
      <x:c r="D5" s="4" t="n">
        <x:v>0.08972452995190205</x:v>
      </x:c>
      <x:c r="E5" s="1" t="str">
        <x:v>+</x:v>
      </x:c>
      <x:c r="F5" s="4" t="n">
        <x:v>78.01656920077973</x:v>
      </x:c>
      <x:c r="G5" s="2" t="n">
        <x:v>2.8386701221090835e-12</x:v>
      </x:c>
      <x:c r="H5" s="2" t="n">
        <x:v>1.0339855919782336e-8</x:v>
      </x:c>
      <x:c r="I5" s="5" t="n">
        <x:v>7.985485512855175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68" hidden="0" customWidth="1"/>
    <x:col min="2" max="2" width="14" hidden="0" customWidth="1"/>
    <x:col min="3" max="3" width="10" hidden="0" customWidth="1"/>
    <x:col min="4" max="4" width="12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17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</x:row>
    <x:row r="2" s="1" customFormat="1">
      <x:c r="A2" s="1" t="str">
        <x:v>contractile muscle fiber (GO:0043292)</x:v>
      </x:c>
      <x:c r="B2" s="1" t="n">
        <x:v>257</x:v>
      </x:c>
      <x:c r="C2" s="1" t="n">
        <x:v>11</x:v>
      </x:c>
      <x:c r="D2" s="4" t="n">
        <x:v>0.3034105815478793</x:v>
      </x:c>
      <x:c r="E2" s="1" t="str">
        <x:v>+</x:v>
      </x:c>
      <x:c r="F2" s="4" t="n">
        <x:v>36.254503530768126</x:v>
      </x:c>
      <x:c r="G2" s="2" t="n">
        <x:v>3.2395250082122666e-15</x:v>
      </x:c>
      <x:c r="H2" s="2" t="n">
        <x:v>3.278399308310814e-12</x:v>
      </x:c>
      <x:c r="I2" s="5" t="n">
        <x:f>-LOG10(H2)</x:f>
        <x:v>11.484338150572</x:v>
      </x:c>
    </x:row>
    <x:row r="3" s="1" customFormat="1">
      <x:c r="A3" s="1" t="str">
        <x:v>myofibril (GO:0030016)</x:v>
      </x:c>
      <x:c r="B3" s="1" t="n">
        <x:v>248</x:v>
      </x:c>
      <x:c r="C3" s="1" t="n">
        <x:v>11</x:v>
      </x:c>
      <x:c r="D3" s="4" t="n">
        <x:v>0.29278530826410143</x:v>
      </x:c>
      <x:c r="E3" s="1" t="str">
        <x:v>+</x:v>
      </x:c>
      <x:c r="F3" s="4" t="n">
        <x:v>37.57019115890084</x:v>
      </x:c>
      <x:c r="G3" s="2" t="n">
        <x:v>2.183969188854824e-15</x:v>
      </x:c>
      <x:c r="H3" s="2" t="n">
        <x:v>4.420353638242164e-12</x:v>
      </x:c>
      <x:c r="I3" s="5" t="n">
        <x:f>-LOG10(H3)</x:f>
        <x:v>11.3545429847248</x:v>
      </x:c>
    </x:row>
    <x:row r="4" s="1" customFormat="1">
      <x:c r="A4" s="1" t="str">
        <x:v>sarcomere (GO:0030017)</x:v>
      </x:c>
      <x:c r="B4" s="1" t="n">
        <x:v>220</x:v>
      </x:c>
      <x:c r="C4" s="1" t="n">
        <x:v>10</x:v>
      </x:c>
      <x:c r="D4" s="4" t="n">
        <x:v>0.25972890249234803</x:v>
      </x:c>
      <x:c r="E4" s="1" t="str">
        <x:v>+</x:v>
      </x:c>
      <x:c r="F4" s="4" t="n">
        <x:v>38.5016835016835</x:v>
      </x:c>
      <x:c r="G4" s="2" t="n">
        <x:v>4.0413858797529345e-14</x:v>
      </x:c>
      <x:c r="H4" s="2" t="n">
        <x:v>2.7265883402066464e-11</x:v>
      </x:c>
      <x:c r="I4" s="5" t="n">
        <x:f>-LOG10(H4)</x:f>
        <x:v>10.564380426808</x:v>
      </x:c>
    </x:row>
    <x:row r="5" s="1" customFormat="1">
      <x:c r="A5" s="1" t="str">
        <x:v>supramolecular polymer (GO:0099081)</x:v>
      </x:c>
      <x:c r="B5" s="1" t="n">
        <x:v>841</x:v>
      </x:c>
      <x:c r="C5" s="1" t="n">
        <x:v>12</x:v>
      </x:c>
      <x:c r="D5" s="4" t="n">
        <x:v>0.9928727590730214</x:v>
      </x:c>
      <x:c r="E5" s="1" t="str">
        <x:v>+</x:v>
      </x:c>
      <x:c r="F5" s="4" t="n">
        <x:v>12.086140837627164</x:v>
      </x:c>
      <x:c r="G5" s="2" t="n">
        <x:v>5.915148828289162e-11</x:v>
      </x:c>
      <x:c r="H5" s="2" t="n">
        <x:v>2.394452245691453e-8</x:v>
      </x:c>
      <x:c r="I5" s="5" t="n">
        <x:f>-LOG10(H5)</x:f>
        <x:v>7.62079381998679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6"/>
  <x:cols>
    <x:col min="1" max="1" width="68" hidden="0" customWidth="1"/>
    <x:col min="2" max="2" width="14" hidden="0" customWidth="1"/>
    <x:col min="3" max="3" width="10" hidden="0" customWidth="1"/>
    <x:col min="4" max="4" width="12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17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</x:row>
    <x:row r="2">
      <x:c r="A2" s="1" t="str">
        <x:v>actin binding (GO:0003779)</x:v>
      </x:c>
      <x:c r="B2" s="1" t="n">
        <x:v>395</x:v>
      </x:c>
      <x:c r="C2" s="1" t="n">
        <x:v>7</x:v>
      </x:c>
      <x:c r="D2" s="4" t="n">
        <x:v>0.4663314385658067</x:v>
      </x:c>
      <x:c r="E2" s="1" t="str">
        <x:v>+</x:v>
      </x:c>
      <x:c r="F2" s="4" t="n">
        <x:v>15.010782934833568</x:v>
      </x:c>
      <x:c r="G2" s="2" t="n">
        <x:v>2.8657201467629525e-7</x:v>
      </x:c>
      <x:c r="H2" s="2" t="n">
        <x:v>0.0004897515730817886</x:v>
      </x:c>
      <x:c r="I2" s="5" t="n">
        <x:v>3.310024160377344</x:v>
      </x:c>
    </x:row>
    <x:row r="3">
      <x:c r="A3" s="1" t="str">
        <x:v>cytoskeletal protein binding (GO:0008092)</x:v>
      </x:c>
      <x:c r="B3" s="1" t="n">
        <x:v>969</x:v>
      </x:c>
      <x:c r="C3" s="1" t="n">
        <x:v>10</x:v>
      </x:c>
      <x:c r="D3" s="4" t="n">
        <x:v>1.1439877568867511</x:v>
      </x:c>
      <x:c r="E3" s="1" t="str">
        <x:v>+</x:v>
      </x:c>
      <x:c r="F3" s="4" t="n">
        <x:v>8.741352291403892</x:v>
      </x:c>
      <x:c r="G3" s="2" t="n">
        <x:v>7.779874615518639e-8</x:v>
      </x:c>
      <x:c r="H3" s="2" t="n">
        <x:v>0.0001994370857688203</x:v>
      </x:c>
      <x:c r="I3" s="5" t="n">
        <x:v>3.700194080491884</x:v>
      </x:c>
    </x:row>
    <x:row r="4">
      <x:c r="A4" s="1" t="str">
        <x:v>polypeptide conformation or assembly isomerase activity (GO:0120544)</x:v>
      </x:c>
      <x:c r="B4" s="1" t="n">
        <x:v>104</x:v>
      </x:c>
      <x:c r="C4" s="1" t="n">
        <x:v>4</x:v>
      </x:c>
      <x:c r="D4" s="4" t="n">
        <x:v>0.12278093572365545</x:v>
      </x:c>
      <x:c r="E4" s="1" t="str">
        <x:v>+</x:v>
      </x:c>
      <x:c r="F4" s="4" t="n">
        <x:v>32.578347578347575</x:v>
      </x:c>
      <x:c r="G4" s="2" t="n">
        <x:v>0.000006533604268744727</x:v>
      </x:c>
      <x:c r="H4" s="2" t="n">
        <x:v>0.005582964847642369</x:v>
      </x:c>
      <x:c r="I4" s="5" t="n">
        <x:v>2.25313510661545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2" max="2" width="68" hidden="0" customWidth="1"/>
    <x:col min="3" max="3" width="14" hidden="0" customWidth="1"/>
    <x:col min="4" max="4" width="10" hidden="0" customWidth="1"/>
    <x:col min="5" max="5" width="12" hidden="0" customWidth="1"/>
    <x:col min="6" max="6" width="14" hidden="0" customWidth="1"/>
    <x:col min="7" max="7" width="13" hidden="0" customWidth="1"/>
    <x:col min="8" max="8" width="14" hidden="0" customWidth="1"/>
    <x:col min="9" max="9" width="14" hidden="0" customWidth="1"/>
    <x:col min="10" max="10" width="17" hidden="0" customWidth="1"/>
  </x:cols>
  <x:sheetData>
    <x:row r="1">
      <x:c r="A1" t="s">
        <x:v>9</x:v>
      </x:c>
      <x:c r="B1" t="s">
        <x:v>0</x:v>
      </x:c>
      <x:c r="C1" t="s">
        <x:v>1</x:v>
      </x:c>
      <x:c r="D1" t="s">
        <x:v>2</x:v>
      </x:c>
      <x:c r="E1" t="s">
        <x:v>3</x:v>
      </x:c>
      <x:c r="F1" t="s">
        <x:v>4</x:v>
      </x:c>
      <x:c r="G1" t="s">
        <x:v>5</x:v>
      </x:c>
      <x:c r="H1" t="s">
        <x:v>6</x:v>
      </x:c>
      <x:c r="I1" t="s">
        <x:v>7</x:v>
      </x:c>
      <x:c r="J1" t="s">
        <x:v>8</x:v>
      </x:c>
    </x:row>
    <x:row r="2">
      <x:c r="A2" t="s">
        <x:v>10</x:v>
      </x:c>
      <x:c r="B2" s="1" t="str">
        <x:v>striated muscle contraction (GO:0006941)</x:v>
      </x:c>
      <x:c r="C2" s="1" t="n">
        <x:v>119</x:v>
      </x:c>
      <x:c r="D2" s="1" t="n">
        <x:v>8</x:v>
      </x:c>
      <x:c r="E2" s="4" t="n">
        <x:v>0.14048972452995193</x:v>
      </x:c>
      <x:c r="F2" s="1" t="str">
        <x:v>+</x:v>
      </x:c>
      <x:c r="G2" s="4" t="n">
        <x:v>56.94366635543105</x:v>
      </x:c>
      <x:c r="H2" s="2" t="n">
        <x:v>8.650835420778915e-13</x:v>
      </x:c>
      <x:c r="I2" s="2" t="n">
        <x:v>4.201422402691626e-9</x:v>
      </x:c>
      <x:c r="J2" s="5" t="n">
        <x:v>8.376603653159437</x:v>
      </x:c>
    </x:row>
    <x:row r="3">
      <x:c r="A3" t="s">
        <x:v>10</x:v>
      </x:c>
      <x:c r="B3" s="1" t="str">
        <x:v>muscle structure development (GO:0061061)</x:v>
      </x:c>
      <x:c r="C3" s="1" t="n">
        <x:v>545</x:v>
      </x:c>
      <x:c r="D3" s="1" t="n">
        <x:v>12</x:v>
      </x:c>
      <x:c r="E3" s="4" t="n">
        <x:v>0.6434193266287713</x:v>
      </x:c>
      <x:c r="F3" s="1" t="str">
        <x:v>+</x:v>
      </x:c>
      <x:c r="G3" s="4" t="n">
        <x:v>18.650356778797146</x:v>
      </x:c>
      <x:c r="H3" s="2" t="n">
        <x:v>3.7354263829738116e-13</x:v>
      </x:c>
      <x:c r="I3" s="2" t="n">
        <x:v>5.442516239992843e-9</x:v>
      </x:c>
      <x:c r="J3" s="5" t="n">
        <x:v>8.264200266388153</x:v>
      </x:c>
    </x:row>
    <x:row r="4">
      <x:c r="A4" t="s">
        <x:v>10</x:v>
      </x:c>
      <x:c r="B4" s="1" t="str">
        <x:v>muscle system process (GO:0003012)</x:v>
      </x:c>
      <x:c r="C4" s="1" t="n">
        <x:v>279</x:v>
      </x:c>
      <x:c r="D4" s="1" t="n">
        <x:v>10</x:v>
      </x:c>
      <x:c r="E4" s="4" t="n">
        <x:v>0.32938347179711414</x:v>
      </x:c>
      <x:c r="F4" s="1" t="str">
        <x:v>+</x:v>
      </x:c>
      <x:c r="G4" s="4" t="n">
        <x:v>30.359750431435018</x:v>
      </x:c>
      <x:c r="H4" s="2" t="n">
        <x:v>4.366736976025613e-13</x:v>
      </x:c>
      <x:c r="I4" s="2" t="n">
        <x:v>3.1811678870346592e-9</x:v>
      </x:c>
      <x:c r="J4" s="5" t="n">
        <x:v>8.497413410273738</x:v>
      </x:c>
    </x:row>
    <x:row r="5">
      <x:c r="A5" t="s">
        <x:v>10</x:v>
      </x:c>
      <x:c r="B5" s="1" t="str">
        <x:v>cardiac muscle contraction (GO:0060048)</x:v>
      </x:c>
      <x:c r="C5" s="1" t="n">
        <x:v>76</x:v>
      </x:c>
      <x:c r="D5" s="1" t="n">
        <x:v>7</x:v>
      </x:c>
      <x:c r="E5" s="4" t="n">
        <x:v>0.08972452995190205</x:v>
      </x:c>
      <x:c r="F5" s="1" t="str">
        <x:v>+</x:v>
      </x:c>
      <x:c r="G5" s="4" t="n">
        <x:v>78.01656920077973</x:v>
      </x:c>
      <x:c r="H5" s="2" t="n">
        <x:v>2.8386701221090835e-12</x:v>
      </x:c>
      <x:c r="I5" s="2" t="n">
        <x:v>1.0339855919782336e-8</x:v>
      </x:c>
      <x:c r="J5" s="5" t="n">
        <x:v>7.985485512855175</x:v>
      </x:c>
    </x:row>
    <x:row r="6">
      <x:c r="A6" t="s">
        <x:v>11</x:v>
      </x:c>
      <x:c r="B6" s="1" t="str">
        <x:v>contractile muscle fiber (GO:0043292)</x:v>
      </x:c>
      <x:c r="C6" s="1" t="n">
        <x:v>257</x:v>
      </x:c>
      <x:c r="D6" s="1" t="n">
        <x:v>11</x:v>
      </x:c>
      <x:c r="E6" s="4" t="n">
        <x:v>0.3034105815478793</x:v>
      </x:c>
      <x:c r="F6" s="1" t="str">
        <x:v>+</x:v>
      </x:c>
      <x:c r="G6" s="4" t="n">
        <x:v>36.254503530768126</x:v>
      </x:c>
      <x:c r="H6" s="2" t="n">
        <x:v>3.2395250082122666e-15</x:v>
      </x:c>
      <x:c r="I6" s="2" t="n">
        <x:v>3.278399308310814e-12</x:v>
      </x:c>
      <x:c r="J6" s="5" t="n">
        <x:f>-LOG10(I6)</x:f>
        <x:v>11.484338150572</x:v>
      </x:c>
    </x:row>
    <x:row r="7">
      <x:c r="A7" t="s">
        <x:v>11</x:v>
      </x:c>
      <x:c r="B7" s="1" t="str">
        <x:v>myofibril (GO:0030016)</x:v>
      </x:c>
      <x:c r="C7" s="1" t="n">
        <x:v>248</x:v>
      </x:c>
      <x:c r="D7" s="1" t="n">
        <x:v>11</x:v>
      </x:c>
      <x:c r="E7" s="4" t="n">
        <x:v>0.29278530826410143</x:v>
      </x:c>
      <x:c r="F7" s="1" t="str">
        <x:v>+</x:v>
      </x:c>
      <x:c r="G7" s="4" t="n">
        <x:v>37.57019115890084</x:v>
      </x:c>
      <x:c r="H7" s="2" t="n">
        <x:v>2.183969188854824e-15</x:v>
      </x:c>
      <x:c r="I7" s="2" t="n">
        <x:v>4.420353638242164e-12</x:v>
      </x:c>
      <x:c r="J7" s="5" t="n">
        <x:f>-LOG10(I7)</x:f>
        <x:v>11.3545429847248</x:v>
      </x:c>
    </x:row>
    <x:row r="8">
      <x:c r="A8" t="s">
        <x:v>11</x:v>
      </x:c>
      <x:c r="B8" s="1" t="str">
        <x:v>sarcomere (GO:0030017)</x:v>
      </x:c>
      <x:c r="C8" s="1" t="n">
        <x:v>220</x:v>
      </x:c>
      <x:c r="D8" s="1" t="n">
        <x:v>10</x:v>
      </x:c>
      <x:c r="E8" s="4" t="n">
        <x:v>0.25972890249234803</x:v>
      </x:c>
      <x:c r="F8" s="1" t="str">
        <x:v>+</x:v>
      </x:c>
      <x:c r="G8" s="4" t="n">
        <x:v>38.5016835016835</x:v>
      </x:c>
      <x:c r="H8" s="2" t="n">
        <x:v>4.0413858797529345e-14</x:v>
      </x:c>
      <x:c r="I8" s="2" t="n">
        <x:v>2.7265883402066464e-11</x:v>
      </x:c>
      <x:c r="J8" s="5" t="n">
        <x:f>-LOG10(I8)</x:f>
        <x:v>10.564380426808</x:v>
      </x:c>
    </x:row>
    <x:row r="9">
      <x:c r="A9" t="s">
        <x:v>11</x:v>
      </x:c>
      <x:c r="B9" s="1" t="str">
        <x:v>supramolecular polymer (GO:0099081)</x:v>
      </x:c>
      <x:c r="C9" s="1" t="n">
        <x:v>841</x:v>
      </x:c>
      <x:c r="D9" s="1" t="n">
        <x:v>12</x:v>
      </x:c>
      <x:c r="E9" s="4" t="n">
        <x:v>0.9928727590730214</x:v>
      </x:c>
      <x:c r="F9" s="1" t="str">
        <x:v>+</x:v>
      </x:c>
      <x:c r="G9" s="4" t="n">
        <x:v>12.086140837627164</x:v>
      </x:c>
      <x:c r="H9" s="2" t="n">
        <x:v>5.915148828289162e-11</x:v>
      </x:c>
      <x:c r="I9" s="2" t="n">
        <x:v>2.394452245691453e-8</x:v>
      </x:c>
      <x:c r="J9" s="5" t="n">
        <x:f>-LOG10(I9)</x:f>
        <x:v>7.62079381998679</x:v>
      </x:c>
    </x:row>
    <x:row r="10">
      <x:c r="A10" t="s">
        <x:v>12</x:v>
      </x:c>
      <x:c r="B10" s="1" t="str">
        <x:v>actin binding (GO:0003779)</x:v>
      </x:c>
      <x:c r="C10" s="1" t="n">
        <x:v>395</x:v>
      </x:c>
      <x:c r="D10" s="1" t="n">
        <x:v>7</x:v>
      </x:c>
      <x:c r="E10" s="4" t="n">
        <x:v>0.4663314385658067</x:v>
      </x:c>
      <x:c r="F10" s="1" t="str">
        <x:v>+</x:v>
      </x:c>
      <x:c r="G10" s="4" t="n">
        <x:v>15.010782934833568</x:v>
      </x:c>
      <x:c r="H10" s="2" t="n">
        <x:v>2.8657201467629525e-7</x:v>
      </x:c>
      <x:c r="I10" s="2" t="n">
        <x:v>0.0004897515730817886</x:v>
      </x:c>
      <x:c r="J10" s="5" t="n">
        <x:v>3.310024160377344</x:v>
      </x:c>
    </x:row>
    <x:row r="11">
      <x:c r="A11" t="s">
        <x:v>12</x:v>
      </x:c>
      <x:c r="B11" s="1" t="str">
        <x:v>cytoskeletal protein binding (GO:0008092)</x:v>
      </x:c>
      <x:c r="C11" s="1" t="n">
        <x:v>969</x:v>
      </x:c>
      <x:c r="D11" s="1" t="n">
        <x:v>10</x:v>
      </x:c>
      <x:c r="E11" s="4" t="n">
        <x:v>1.1439877568867511</x:v>
      </x:c>
      <x:c r="F11" s="1" t="str">
        <x:v>+</x:v>
      </x:c>
      <x:c r="G11" s="4" t="n">
        <x:v>8.741352291403892</x:v>
      </x:c>
      <x:c r="H11" s="2" t="n">
        <x:v>7.779874615518639e-8</x:v>
      </x:c>
      <x:c r="I11" s="2" t="n">
        <x:v>0.0001994370857688203</x:v>
      </x:c>
      <x:c r="J11" s="5" t="n">
        <x:v>3.700194080491884</x:v>
      </x:c>
    </x:row>
    <x:row r="12">
      <x:c r="A12" t="s">
        <x:v>12</x:v>
      </x:c>
      <x:c r="B12" s="1" t="str">
        <x:v>polypeptide conformation or assembly isomerase activity (GO:0120544)</x:v>
      </x:c>
      <x:c r="C12" s="1" t="n">
        <x:v>104</x:v>
      </x:c>
      <x:c r="D12" s="1" t="n">
        <x:v>4</x:v>
      </x:c>
      <x:c r="E12" s="4" t="n">
        <x:v>0.12278093572365545</x:v>
      </x:c>
      <x:c r="F12" s="1" t="str">
        <x:v>+</x:v>
      </x:c>
      <x:c r="G12" s="4" t="n">
        <x:v>32.578347578347575</x:v>
      </x:c>
      <x:c r="H12" s="2" t="n">
        <x:v>0.000006533604268744727</x:v>
      </x:c>
      <x:c r="I12" s="2" t="n">
        <x:v>0.005582964847642369</x:v>
      </x:c>
      <x:c r="J12" s="5" t="n">
        <x:v>2.25313510661545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6"/>
  <x:cols>
    <x:col min="1" max="1" width="68" hidden="0" customWidth="1"/>
    <x:col min="2" max="2" width="14" hidden="0" customWidth="1"/>
    <x:col min="3" max="3" width="10" hidden="0" customWidth="1"/>
    <x:col min="4" max="4" width="12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17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</x:row>
    <x:row r="2">
      <x:c r="A2" t="str">
        <x:v>Creatine metabolism (R-RNO-71288)</x:v>
      </x:c>
      <x:c r="B2" t="n">
        <x:v>10</x:v>
      </x:c>
      <x:c r="C2" t="n">
        <x:v>2</x:v>
      </x:c>
      <x:c r="D2" s="6" t="n">
        <x:v>0.01180585920419764</x:v>
      </x:c>
      <x:c r="E2" t="str">
        <x:v>+</x:v>
      </x:c>
      <x:c r="F2" s="6" t="n">
        <x:v>169.4074074074074</x:v>
      </x:c>
      <x:c r="G2" s="3" t="n">
        <x:v>0.000060048712503718336</x:v>
      </x:c>
      <x:c r="H2" s="3" t="n">
        <x:v>0.03448797721463556</x:v>
      </x:c>
      <x:c r="I2" s="7" t="n">
        <x:f>-LOG10(H2)</x:f>
        <x:v>1.46233227708183</x:v>
      </x:c>
    </x:row>
    <x:row r="3">
      <x:c r="A3" t="str">
        <x:v>Striated Muscle Contraction (R-RNO-390522)</x:v>
      </x:c>
      <x:c r="B3" t="n">
        <x:v>31</x:v>
      </x:c>
      <x:c r="C3" t="n">
        <x:v>6</x:v>
      </x:c>
      <x:c r="D3" s="6" t="n">
        <x:v>0.03659816353301268</x:v>
      </x:c>
      <x:c r="E3" t="str">
        <x:v>+</x:v>
      </x:c>
      <x:c r="F3" s="6" t="n">
        <x:v>163.9426523297491</x:v>
      </x:c>
      <x:c r="G3" s="3" t="n">
        <x:v>1.07601205740372e-12</x:v>
      </x:c>
      <x:c r="H3" s="3" t="n">
        <x:v>1.8539687749066096e-9</x:v>
      </x:c>
      <x:c r="I3" s="7" t="n">
        <x:f t="shared" ref="I3:I4" si="0">-LOG10(H3)</x:f>
        <x:v>8.73189758464673</x:v>
      </x:c>
    </x:row>
    <x:row r="4">
      <x:c r="A4" t="str">
        <x:v>Muscle contraction (R-RNO-397014)</x:v>
      </x:c>
      <x:c r="B4" t="n">
        <x:v>152</x:v>
      </x:c>
      <x:c r="C4" t="n">
        <x:v>6</x:v>
      </x:c>
      <x:c r="D4" s="6" t="n">
        <x:v>0.1794490599038041</x:v>
      </x:c>
      <x:c r="E4" t="str">
        <x:v>+</x:v>
      </x:c>
      <x:c r="F4" s="6" t="n">
        <x:v>33.43567251461988</x:v>
      </x:c>
      <x:c r="G4" s="3" t="n">
        <x:v>2.0589937540217488e-8</x:v>
      </x:c>
      <x:c r="H4" s="3" t="n">
        <x:v>0.000017738231190897364</x:v>
      </x:c>
      <x:c r="I4" s="7" t="n">
        <x:f t="shared" si="0"/>
        <x:v>4.7510896890326</x:v>
      </x:c>
    </x:row>
  </x:sheetData>
  <x:pageMargins left="0.7" right="0.7" top="0.75" bottom="0.75" header="0.3" footer="0.3"/>
</x:worksheet>
</file>